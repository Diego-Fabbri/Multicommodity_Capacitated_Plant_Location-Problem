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Diego Files\Diego Ingegneria\Magistrale\I Anno Magistrale Gestionale\Logistica\Materiale_A.A._2019_2020\Homework e tracce svolte\Consegna 2\"/>
    </mc:Choice>
  </mc:AlternateContent>
  <xr:revisionPtr revIDLastSave="0" documentId="13_ncr:1_{FD2839A9-8ADC-4F6F-8E1E-9EC97F1BB437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Dati" sheetId="1" r:id="rId1"/>
    <sheet name="Ispezione" sheetId="2" r:id="rId2"/>
  </sheets>
  <definedNames>
    <definedName name="solver_adj" localSheetId="0" hidden="1">Dati!$H$35:$O$39,Dati!$H$43:$O$47,Dati!$H$29:$L$29</definedName>
    <definedName name="solver_cvg" localSheetId="0" hidden="1">0.0001</definedName>
    <definedName name="solver_drv" localSheetId="0" hidden="1">2</definedName>
    <definedName name="solver_eng" localSheetId="0" hidden="1">3</definedName>
    <definedName name="solver_est" localSheetId="0" hidden="1">1</definedName>
    <definedName name="solver_itr" localSheetId="0" hidden="1">2147483647</definedName>
    <definedName name="solver_lhs1" localSheetId="0" hidden="1">Dati!$B$66:$B$81</definedName>
    <definedName name="solver_lhs2" localSheetId="0" hidden="1">Dati!$H$29:$L$29</definedName>
    <definedName name="solver_lhs3" localSheetId="0" hidden="1">Dati!$I$66:$I$70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Dati!$N$20</definedName>
    <definedName name="solver_pre" localSheetId="0" hidden="1">0.000001</definedName>
    <definedName name="solver_rbv" localSheetId="0" hidden="1">2</definedName>
    <definedName name="solver_rel1" localSheetId="0" hidden="1">2</definedName>
    <definedName name="solver_rel2" localSheetId="0" hidden="1">5</definedName>
    <definedName name="solver_rel3" localSheetId="0" hidden="1">1</definedName>
    <definedName name="solver_rhs1" localSheetId="0" hidden="1">Dati!$D$66:$D$81</definedName>
    <definedName name="solver_rhs2" localSheetId="0" hidden="1">binario</definedName>
    <definedName name="solver_rhs3" localSheetId="0" hidden="1">Dati!$K$66:$K$70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21" i="2" l="1"/>
  <c r="C20" i="2"/>
  <c r="G22" i="2" s="1"/>
  <c r="O14" i="2"/>
  <c r="O10" i="2"/>
  <c r="G9" i="2"/>
  <c r="G13" i="2" s="1"/>
  <c r="D7" i="2"/>
  <c r="L6" i="2"/>
  <c r="D5" i="2"/>
  <c r="D14" i="2" s="1"/>
  <c r="M68" i="1" l="1"/>
  <c r="M69" i="1"/>
  <c r="M70" i="1"/>
  <c r="K21" i="1" l="1"/>
  <c r="K12" i="1"/>
  <c r="K70" i="1"/>
  <c r="K69" i="1"/>
  <c r="K68" i="1"/>
  <c r="K67" i="1"/>
  <c r="K66" i="1"/>
  <c r="J25" i="1"/>
  <c r="J21" i="1"/>
  <c r="B81" i="1"/>
  <c r="B74" i="1"/>
  <c r="B73" i="1"/>
  <c r="B70" i="1"/>
  <c r="B69" i="1"/>
  <c r="B68" i="1"/>
  <c r="B67" i="1"/>
  <c r="B66" i="1"/>
  <c r="K25" i="1" l="1"/>
  <c r="K22" i="1" l="1"/>
  <c r="K23" i="1"/>
  <c r="K24" i="1"/>
  <c r="I21" i="1"/>
  <c r="J22" i="1"/>
  <c r="J23" i="1"/>
  <c r="J24" i="1"/>
  <c r="J12" i="1"/>
  <c r="E6" i="1" a="1"/>
  <c r="E6" i="1" s="1"/>
  <c r="I12" i="1"/>
  <c r="D12" i="1"/>
  <c r="D21" i="1"/>
  <c r="I67" i="1" l="1"/>
  <c r="M67" i="1" s="1"/>
  <c r="K16" i="1" l="1"/>
  <c r="I23" i="1"/>
  <c r="E38" i="1"/>
  <c r="I9" i="1"/>
  <c r="K9" i="1"/>
  <c r="Q44" i="1" l="1"/>
  <c r="Q45" i="1"/>
  <c r="Q46" i="1"/>
  <c r="Q47" i="1"/>
  <c r="Q43" i="1"/>
  <c r="Q35" i="1"/>
  <c r="Q36" i="1"/>
  <c r="Q37" i="1"/>
  <c r="Q38" i="1"/>
  <c r="Q39" i="1"/>
  <c r="G23" i="1" l="1"/>
  <c r="I68" i="1"/>
  <c r="H28" i="1" a="1"/>
  <c r="H28" i="1" s="1"/>
  <c r="N20" i="1"/>
  <c r="N22" i="1" s="1"/>
  <c r="B80" i="1"/>
  <c r="B79" i="1"/>
  <c r="B78" i="1"/>
  <c r="B77" i="1"/>
  <c r="B76" i="1"/>
  <c r="B75" i="1"/>
  <c r="B72" i="1"/>
  <c r="B71" i="1"/>
  <c r="N12" i="1"/>
  <c r="I69" i="1"/>
  <c r="I70" i="1"/>
  <c r="I66" i="1"/>
  <c r="N15" i="1"/>
  <c r="D23" i="1"/>
  <c r="D22" i="1"/>
  <c r="D24" i="1"/>
  <c r="D25" i="1"/>
  <c r="K13" i="1"/>
  <c r="K14" i="1"/>
  <c r="K15" i="1"/>
  <c r="J13" i="1"/>
  <c r="J14" i="1"/>
  <c r="J15" i="1"/>
  <c r="J16" i="1"/>
  <c r="I24" i="1"/>
  <c r="I22" i="1"/>
  <c r="I25" i="1"/>
  <c r="H22" i="1"/>
  <c r="H23" i="1"/>
  <c r="H24" i="1"/>
  <c r="H25" i="1"/>
  <c r="H21" i="1"/>
  <c r="G22" i="1"/>
  <c r="G24" i="1"/>
  <c r="G25" i="1"/>
  <c r="G21" i="1"/>
  <c r="F22" i="1"/>
  <c r="F23" i="1"/>
  <c r="F24" i="1"/>
  <c r="F25" i="1"/>
  <c r="F21" i="1"/>
  <c r="E22" i="1"/>
  <c r="E23" i="1"/>
  <c r="E24" i="1"/>
  <c r="E25" i="1"/>
  <c r="E21" i="1"/>
  <c r="I13" i="1"/>
  <c r="I14" i="1"/>
  <c r="I15" i="1"/>
  <c r="I16" i="1"/>
  <c r="H13" i="1"/>
  <c r="H14" i="1"/>
  <c r="H15" i="1"/>
  <c r="H16" i="1"/>
  <c r="H12" i="1"/>
  <c r="G16" i="1"/>
  <c r="G13" i="1"/>
  <c r="G14" i="1"/>
  <c r="G15" i="1"/>
  <c r="G12" i="1"/>
  <c r="F13" i="1"/>
  <c r="F14" i="1"/>
  <c r="F15" i="1"/>
  <c r="F16" i="1"/>
  <c r="F12" i="1"/>
  <c r="E13" i="1"/>
  <c r="E14" i="1"/>
  <c r="E15" i="1"/>
  <c r="E16" i="1"/>
  <c r="E12" i="1"/>
  <c r="D16" i="1"/>
  <c r="D13" i="1"/>
  <c r="D14" i="1"/>
  <c r="D15" i="1"/>
  <c r="M66" i="1" l="1"/>
  <c r="O15" i="1"/>
  <c r="N17" i="1"/>
  <c r="O17" i="1" s="1"/>
  <c r="N16" i="1"/>
  <c r="O16" i="1" s="1"/>
  <c r="B37" i="1" a="1"/>
  <c r="B37" i="1" s="1"/>
  <c r="O18" i="1" l="1"/>
  <c r="F38" i="1"/>
  <c r="C38" i="1"/>
  <c r="D38" i="1"/>
  <c r="B38" i="1"/>
  <c r="B43" i="1" a="1"/>
  <c r="B43" i="1" s="1"/>
  <c r="B32" i="1" a="1"/>
  <c r="B32" i="1" s="1"/>
  <c r="F7" i="1"/>
  <c r="D5" i="1" a="1"/>
  <c r="D5" i="1" s="1"/>
  <c r="C4" i="1" a="1"/>
  <c r="C4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<sst xmlns="http://schemas.openxmlformats.org/spreadsheetml/2006/main" count="155" uniqueCount="45">
  <si>
    <t>A</t>
  </si>
  <si>
    <t>B</t>
  </si>
  <si>
    <t>C</t>
  </si>
  <si>
    <t>D</t>
  </si>
  <si>
    <t>E</t>
  </si>
  <si>
    <t>F</t>
  </si>
  <si>
    <t>G</t>
  </si>
  <si>
    <t>H</t>
  </si>
  <si>
    <t>gg [anno] =</t>
  </si>
  <si>
    <t>|V2| =</t>
  </si>
  <si>
    <t>|V1| =</t>
  </si>
  <si>
    <t>p=1</t>
  </si>
  <si>
    <t>p=2</t>
  </si>
  <si>
    <t>|P| =</t>
  </si>
  <si>
    <t>Costo fisso totale [€/gg] =</t>
  </si>
  <si>
    <t>Costo variabile totale prod1 [€/gg] =</t>
  </si>
  <si>
    <t>Costo variabile totale prod2 [€/gg] =</t>
  </si>
  <si>
    <t>=</t>
  </si>
  <si>
    <t>≤</t>
  </si>
  <si>
    <t>i=A</t>
  </si>
  <si>
    <t>i=B</t>
  </si>
  <si>
    <t>i=C</t>
  </si>
  <si>
    <t>i=D</t>
  </si>
  <si>
    <t>i=E</t>
  </si>
  <si>
    <t>j=A</t>
  </si>
  <si>
    <t>j=B</t>
  </si>
  <si>
    <t>j=C</t>
  </si>
  <si>
    <t>j=D</t>
  </si>
  <si>
    <t>j=E</t>
  </si>
  <si>
    <t>j=F</t>
  </si>
  <si>
    <t>j=G</t>
  </si>
  <si>
    <t>j=H</t>
  </si>
  <si>
    <t>Numero Centri Aperti =</t>
  </si>
  <si>
    <t>%</t>
  </si>
  <si>
    <t>Indice utilizzo capacità impianto i</t>
  </si>
  <si>
    <t>Tot [quintali]</t>
  </si>
  <si>
    <t>FO [€/anno] =</t>
  </si>
  <si>
    <t>FO [€/gg ]=</t>
  </si>
  <si>
    <t>Cap A</t>
  </si>
  <si>
    <t>Cap B</t>
  </si>
  <si>
    <t>Costo A Prod1</t>
  </si>
  <si>
    <t>Costo B Prod1</t>
  </si>
  <si>
    <t>Costo A Prod2</t>
  </si>
  <si>
    <t>Costo B Prod2</t>
  </si>
  <si>
    <t>CTO=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</si>
</sst>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€&quot;\ #,##0.00"/>
    <numFmt numFmtId="165" formatCode="[$€]&quot; &quot;#,##0.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0000"/>
      <name val="Cambria Math"/>
      <family val="1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164" fontId="0" fillId="0" borderId="9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0" xfId="0" applyBorder="1"/>
    <xf numFmtId="0" fontId="1" fillId="0" borderId="0" xfId="0" applyFont="1" applyAlignment="1">
      <alignment horizontal="center" vertical="center"/>
    </xf>
    <xf numFmtId="164" fontId="3" fillId="2" borderId="0" xfId="0" applyNumberFormat="1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1" fillId="0" borderId="1" xfId="0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/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/>
    <xf numFmtId="0" fontId="8" fillId="0" borderId="0" xfId="0" applyFont="1" applyAlignment="1">
      <alignment horizontal="center"/>
    </xf>
    <xf numFmtId="10" fontId="0" fillId="0" borderId="0" xfId="0" applyNumberFormat="1" applyAlignment="1">
      <alignment horizontal="center"/>
    </xf>
    <xf numFmtId="10" fontId="0" fillId="0" borderId="15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14" xfId="0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2" fontId="0" fillId="0" borderId="16" xfId="0" applyNumberFormat="1" applyBorder="1" applyAlignment="1">
      <alignment horizontal="center" vertical="center"/>
    </xf>
    <xf numFmtId="0" fontId="0" fillId="0" borderId="17" xfId="0" applyBorder="1"/>
    <xf numFmtId="0" fontId="10" fillId="0" borderId="0" xfId="0" applyFont="1"/>
    <xf numFmtId="0" fontId="0" fillId="0" borderId="18" xfId="0" applyBorder="1"/>
    <xf numFmtId="165" fontId="0" fillId="0" borderId="0" xfId="0" applyNumberFormat="1"/>
    <xf numFmtId="164" fontId="0" fillId="0" borderId="0" xfId="0" applyNumberForma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701040</xdr:colOff>
      <xdr:row>0</xdr:row>
      <xdr:rowOff>76200</xdr:rowOff>
    </xdr:from>
    <xdr:to>
      <xdr:col>2</xdr:col>
      <xdr:colOff>22860</xdr:colOff>
      <xdr:row>1</xdr:row>
      <xdr:rowOff>167640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asellaDiTesto 1">
              <a:extLst>
                <a:ext uri="{FF2B5EF4-FFF2-40B4-BE49-F238E27FC236}">
                  <a16:creationId xmlns:a16="http://schemas.microsoft.com/office/drawing/2014/main" id="{99EB78CA-82BA-4BF5-9637-932C4A1CE182}"/>
                </a:ext>
              </a:extLst>
            </xdr:cNvPr>
            <xdr:cNvSpPr txBox="1"/>
          </xdr:nvSpPr>
          <xdr:spPr>
            <a:xfrm>
              <a:off x="701040" y="76200"/>
              <a:ext cx="1173480" cy="28194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it-IT" sz="11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1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𝒅𝒊𝒔𝒕</m:t>
                        </m:r>
                      </m:e>
                      <m:sub>
                        <m:r>
                          <a:rPr lang="it-IT" sz="11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𝒊𝒋</m:t>
                        </m:r>
                      </m:sub>
                    </m:sSub>
                    <m:r>
                      <a:rPr lang="it-IT" sz="11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[</m:t>
                    </m:r>
                    <m:r>
                      <a:rPr lang="it-IT" sz="11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𝑲𝒎</m:t>
                    </m:r>
                    <m:r>
                      <a:rPr lang="it-IT" sz="11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it-IT" sz="1100" b="1"/>
            </a:p>
          </xdr:txBody>
        </xdr:sp>
      </mc:Choice>
      <mc:Fallback xmlns="">
        <xdr:sp macro="" textlink="">
          <xdr:nvSpPr>
            <xdr:cNvPr id="2" name="CasellaDiTesto 1">
              <a:extLst>
                <a:ext uri="{FF2B5EF4-FFF2-40B4-BE49-F238E27FC236}">
                  <a16:creationId xmlns:a16="http://schemas.microsoft.com/office/drawing/2014/main" id="{99EB78CA-82BA-4BF5-9637-932C4A1CE182}"/>
                </a:ext>
              </a:extLst>
            </xdr:cNvPr>
            <xdr:cNvSpPr txBox="1"/>
          </xdr:nvSpPr>
          <xdr:spPr>
            <a:xfrm>
              <a:off x="701040" y="76200"/>
              <a:ext cx="1173480" cy="28194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:r>
                <a:rPr lang="it-IT" sz="1100" b="1" i="0">
                  <a:solidFill>
                    <a:srgbClr val="FF0000"/>
                  </a:solidFill>
                  <a:latin typeface="Cambria Math" panose="02040503050406030204" pitchFamily="18" charset="0"/>
                </a:rPr>
                <a:t>〖𝒅𝒊𝒔𝒕〗_𝒊𝒋 [𝑲𝒎]</a:t>
              </a:r>
              <a:endParaRPr lang="it-IT" sz="1100" b="1"/>
            </a:p>
          </xdr:txBody>
        </xdr:sp>
      </mc:Fallback>
    </mc:AlternateContent>
    <xdr:clientData/>
  </xdr:twoCellAnchor>
  <xdr:twoCellAnchor>
    <xdr:from>
      <xdr:col>1</xdr:col>
      <xdr:colOff>30480</xdr:colOff>
      <xdr:row>40</xdr:row>
      <xdr:rowOff>15240</xdr:rowOff>
    </xdr:from>
    <xdr:to>
      <xdr:col>6</xdr:col>
      <xdr:colOff>0</xdr:colOff>
      <xdr:row>41</xdr:row>
      <xdr:rowOff>114300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asellaDiTesto 3">
              <a:extLst>
                <a:ext uri="{FF2B5EF4-FFF2-40B4-BE49-F238E27FC236}">
                  <a16:creationId xmlns:a16="http://schemas.microsoft.com/office/drawing/2014/main" id="{09881C70-72F3-4176-B708-B38BFCF23D5B}"/>
                </a:ext>
              </a:extLst>
            </xdr:cNvPr>
            <xdr:cNvSpPr txBox="1"/>
          </xdr:nvSpPr>
          <xdr:spPr>
            <a:xfrm>
              <a:off x="1097280" y="2727960"/>
              <a:ext cx="3893820" cy="28194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it-IT" sz="1100" b="1">
                  <a:solidFill>
                    <a:srgbClr val="FF0000"/>
                  </a:solidFill>
                </a:rPr>
                <a:t>Capacità giornaliera  </a:t>
              </a:r>
              <a14:m>
                <m:oMath xmlns:m="http://schemas.openxmlformats.org/officeDocument/2006/math">
                  <m:sSub>
                    <m:sSubPr>
                      <m:ctrlPr>
                        <a:rPr lang="it-IT" sz="1100" b="1" i="1">
                          <a:solidFill>
                            <a:srgbClr val="FF0000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it-IT" sz="1100" b="1" i="1">
                          <a:solidFill>
                            <a:srgbClr val="FF0000"/>
                          </a:solidFill>
                          <a:latin typeface="Cambria Math" panose="02040503050406030204" pitchFamily="18" charset="0"/>
                        </a:rPr>
                        <m:t>𝒒</m:t>
                      </m:r>
                    </m:e>
                    <m:sub>
                      <m:r>
                        <a:rPr lang="it-IT" sz="1100" b="1" i="1">
                          <a:solidFill>
                            <a:srgbClr val="FF0000"/>
                          </a:solidFill>
                          <a:latin typeface="Cambria Math" panose="02040503050406030204" pitchFamily="18" charset="0"/>
                        </a:rPr>
                        <m:t>𝒊</m:t>
                      </m:r>
                    </m:sub>
                  </m:sSub>
                </m:oMath>
              </a14:m>
              <a:r>
                <a:rPr lang="it-IT" sz="1100" b="1">
                  <a:solidFill>
                    <a:srgbClr val="FF0000"/>
                  </a:solidFill>
                </a:rPr>
                <a:t>   [quintali/gg]</a:t>
              </a:r>
            </a:p>
          </xdr:txBody>
        </xdr:sp>
      </mc:Choice>
      <mc:Fallback xmlns="">
        <xdr:sp macro="" textlink="">
          <xdr:nvSpPr>
            <xdr:cNvPr id="4" name="CasellaDiTesto 3">
              <a:extLst>
                <a:ext uri="{FF2B5EF4-FFF2-40B4-BE49-F238E27FC236}">
                  <a16:creationId xmlns:a16="http://schemas.microsoft.com/office/drawing/2014/main" id="{09881C70-72F3-4176-B708-B38BFCF23D5B}"/>
                </a:ext>
              </a:extLst>
            </xdr:cNvPr>
            <xdr:cNvSpPr txBox="1"/>
          </xdr:nvSpPr>
          <xdr:spPr>
            <a:xfrm>
              <a:off x="1097280" y="2727960"/>
              <a:ext cx="3893820" cy="28194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it-IT" sz="1100" b="1">
                  <a:solidFill>
                    <a:srgbClr val="FF0000"/>
                  </a:solidFill>
                </a:rPr>
                <a:t>Capacità giornaliera  </a:t>
              </a:r>
              <a:r>
                <a:rPr lang="it-IT" sz="1100" b="1" i="0">
                  <a:solidFill>
                    <a:srgbClr val="FF0000"/>
                  </a:solidFill>
                  <a:latin typeface="Cambria Math" panose="02040503050406030204" pitchFamily="18" charset="0"/>
                </a:rPr>
                <a:t>𝒒_𝒊</a:t>
              </a:r>
              <a:r>
                <a:rPr lang="it-IT" sz="1100" b="1">
                  <a:solidFill>
                    <a:srgbClr val="FF0000"/>
                  </a:solidFill>
                </a:rPr>
                <a:t>   [quintali/gg]</a:t>
              </a:r>
            </a:p>
          </xdr:txBody>
        </xdr:sp>
      </mc:Fallback>
    </mc:AlternateContent>
    <xdr:clientData/>
  </xdr:twoCellAnchor>
  <xdr:twoCellAnchor>
    <xdr:from>
      <xdr:col>0</xdr:col>
      <xdr:colOff>1059180</xdr:colOff>
      <xdr:row>48</xdr:row>
      <xdr:rowOff>76200</xdr:rowOff>
    </xdr:from>
    <xdr:to>
      <xdr:col>3</xdr:col>
      <xdr:colOff>220980</xdr:colOff>
      <xdr:row>49</xdr:row>
      <xdr:rowOff>167640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asellaDiTesto 4">
              <a:extLst>
                <a:ext uri="{FF2B5EF4-FFF2-40B4-BE49-F238E27FC236}">
                  <a16:creationId xmlns:a16="http://schemas.microsoft.com/office/drawing/2014/main" id="{6FA60156-B019-489F-AA8D-E082D3A687E2}"/>
                </a:ext>
              </a:extLst>
            </xdr:cNvPr>
            <xdr:cNvSpPr txBox="1"/>
          </xdr:nvSpPr>
          <xdr:spPr>
            <a:xfrm>
              <a:off x="1059180" y="9311640"/>
              <a:ext cx="1798320" cy="27432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it-IT" sz="11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1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𝒅</m:t>
                        </m:r>
                      </m:e>
                      <m:sub>
                        <m:r>
                          <a:rPr lang="it-IT" sz="11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𝒑𝒋</m:t>
                        </m:r>
                      </m:sub>
                    </m:sSub>
                    <m:r>
                      <a:rPr lang="it-IT" sz="11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 [</m:t>
                    </m:r>
                    <m:r>
                      <a:rPr lang="it-IT" sz="11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𝒒𝒖𝒊𝒏𝒕𝒂𝒍𝒊</m:t>
                    </m:r>
                    <m:r>
                      <a:rPr lang="it-IT" sz="11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/</m:t>
                    </m:r>
                    <m:r>
                      <a:rPr lang="it-IT" sz="11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𝒈𝒈</m:t>
                    </m:r>
                    <m:r>
                      <a:rPr lang="it-IT" sz="11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it-IT" sz="1100" b="1"/>
            </a:p>
          </xdr:txBody>
        </xdr:sp>
      </mc:Choice>
      <mc:Fallback xmlns="">
        <xdr:sp macro="" textlink="">
          <xdr:nvSpPr>
            <xdr:cNvPr id="5" name="CasellaDiTesto 4">
              <a:extLst>
                <a:ext uri="{FF2B5EF4-FFF2-40B4-BE49-F238E27FC236}">
                  <a16:creationId xmlns:a16="http://schemas.microsoft.com/office/drawing/2014/main" id="{6FA60156-B019-489F-AA8D-E082D3A687E2}"/>
                </a:ext>
              </a:extLst>
            </xdr:cNvPr>
            <xdr:cNvSpPr txBox="1"/>
          </xdr:nvSpPr>
          <xdr:spPr>
            <a:xfrm>
              <a:off x="1059180" y="9311640"/>
              <a:ext cx="1798320" cy="27432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:r>
                <a:rPr lang="it-IT" sz="1100" b="1" i="0">
                  <a:solidFill>
                    <a:srgbClr val="FF0000"/>
                  </a:solidFill>
                  <a:latin typeface="Cambria Math" panose="02040503050406030204" pitchFamily="18" charset="0"/>
                </a:rPr>
                <a:t>𝒅_𝒑𝒋  [𝒒𝒖𝒊𝒏𝒕𝒂𝒍𝒊/𝒈𝒈]</a:t>
              </a:r>
              <a:endParaRPr lang="it-IT" sz="1100" b="1"/>
            </a:p>
          </xdr:txBody>
        </xdr:sp>
      </mc:Fallback>
    </mc:AlternateContent>
    <xdr:clientData/>
  </xdr:twoCellAnchor>
  <xdr:twoCellAnchor>
    <xdr:from>
      <xdr:col>0</xdr:col>
      <xdr:colOff>60960</xdr:colOff>
      <xdr:row>7</xdr:row>
      <xdr:rowOff>167640</xdr:rowOff>
    </xdr:from>
    <xdr:to>
      <xdr:col>3</xdr:col>
      <xdr:colOff>99060</xdr:colOff>
      <xdr:row>8</xdr:row>
      <xdr:rowOff>175260</xdr:rowOff>
    </xdr:to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21C0660F-D3F6-41BA-B59A-A2375922007E}"/>
            </a:ext>
          </a:extLst>
        </xdr:cNvPr>
        <xdr:cNvSpPr txBox="1"/>
      </xdr:nvSpPr>
      <xdr:spPr>
        <a:xfrm>
          <a:off x="60960" y="1470660"/>
          <a:ext cx="2674620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 b="1">
              <a:solidFill>
                <a:srgbClr val="FF0000"/>
              </a:solidFill>
            </a:rPr>
            <a:t>IPOTESI: </a:t>
          </a:r>
          <a:r>
            <a:rPr lang="it-IT" sz="1100"/>
            <a:t>matrice</a:t>
          </a:r>
          <a:r>
            <a:rPr lang="it-IT" sz="1100" baseline="0"/>
            <a:t> delle distanze simmetrica</a:t>
          </a:r>
          <a:endParaRPr lang="it-IT" sz="1100"/>
        </a:p>
      </xdr:txBody>
    </xdr:sp>
    <xdr:clientData/>
  </xdr:twoCellAnchor>
  <xdr:twoCellAnchor>
    <xdr:from>
      <xdr:col>12</xdr:col>
      <xdr:colOff>289560</xdr:colOff>
      <xdr:row>8</xdr:row>
      <xdr:rowOff>76200</xdr:rowOff>
    </xdr:from>
    <xdr:to>
      <xdr:col>12</xdr:col>
      <xdr:colOff>1775460</xdr:colOff>
      <xdr:row>9</xdr:row>
      <xdr:rowOff>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asellaDiTesto 6">
              <a:extLst>
                <a:ext uri="{FF2B5EF4-FFF2-40B4-BE49-F238E27FC236}">
                  <a16:creationId xmlns:a16="http://schemas.microsoft.com/office/drawing/2014/main" id="{4DF591AB-F4B7-4EC7-8180-F202976AFF17}"/>
                </a:ext>
              </a:extLst>
            </xdr:cNvPr>
            <xdr:cNvSpPr txBox="1"/>
          </xdr:nvSpPr>
          <xdr:spPr>
            <a:xfrm>
              <a:off x="9883140" y="1562100"/>
              <a:ext cx="1485900" cy="41148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14:m>
                <m:oMath xmlns:m="http://schemas.openxmlformats.org/officeDocument/2006/math">
                  <m:r>
                    <a:rPr lang="it-IT" sz="1400" b="1" i="1">
                      <a:latin typeface="Cambria Math" panose="02040503050406030204" pitchFamily="18" charset="0"/>
                    </a:rPr>
                    <m:t>𝒄</m:t>
                  </m:r>
                  <m:r>
                    <a:rPr lang="it-IT" sz="1400" b="1" i="1">
                      <a:latin typeface="Cambria Math" panose="02040503050406030204" pitchFamily="18" charset="0"/>
                    </a:rPr>
                    <m:t>   [</m:t>
                  </m:r>
                  <m:f>
                    <m:fPr>
                      <m:ctrlPr>
                        <a:rPr lang="it-IT" sz="1400" b="1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it-IT" sz="1400" b="1" i="1">
                          <a:latin typeface="Cambria Math" panose="02040503050406030204" pitchFamily="18" charset="0"/>
                        </a:rPr>
                        <m:t>€</m:t>
                      </m:r>
                    </m:num>
                    <m:den>
                      <m:r>
                        <a:rPr lang="it-IT" sz="1400" b="1" i="1">
                          <a:latin typeface="Cambria Math" panose="02040503050406030204" pitchFamily="18" charset="0"/>
                        </a:rPr>
                        <m:t>𝒌𝒎</m:t>
                      </m:r>
                      <m:r>
                        <a:rPr lang="it-IT" sz="1400" b="1" i="1">
                          <a:latin typeface="Cambria Math" panose="02040503050406030204" pitchFamily="18" charset="0"/>
                        </a:rPr>
                        <m:t> ∙</m:t>
                      </m:r>
                      <m:r>
                        <a:rPr lang="it-IT" sz="1400" b="1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𝒒𝒖𝒊𝒏𝒕𝒂𝒍𝒆</m:t>
                      </m:r>
                      <m:r>
                        <a:rPr lang="it-IT" sz="11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r>
                        <a:rPr lang="it-IT" sz="1400" b="1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 </m:t>
                      </m:r>
                    </m:den>
                  </m:f>
                  <m:r>
                    <a:rPr lang="it-IT" sz="1400" b="1" i="1">
                      <a:latin typeface="Cambria Math" panose="02040503050406030204" pitchFamily="18" charset="0"/>
                    </a:rPr>
                    <m:t>]</m:t>
                  </m:r>
                </m:oMath>
              </a14:m>
              <a:r>
                <a:rPr lang="it-IT" sz="1400" b="1"/>
                <a:t> </a:t>
              </a:r>
            </a:p>
          </xdr:txBody>
        </xdr:sp>
      </mc:Choice>
      <mc:Fallback xmlns="">
        <xdr:sp macro="" textlink="">
          <xdr:nvSpPr>
            <xdr:cNvPr id="7" name="CasellaDiTesto 6">
              <a:extLst>
                <a:ext uri="{FF2B5EF4-FFF2-40B4-BE49-F238E27FC236}">
                  <a16:creationId xmlns:a16="http://schemas.microsoft.com/office/drawing/2014/main" id="{4DF591AB-F4B7-4EC7-8180-F202976AFF17}"/>
                </a:ext>
              </a:extLst>
            </xdr:cNvPr>
            <xdr:cNvSpPr txBox="1"/>
          </xdr:nvSpPr>
          <xdr:spPr>
            <a:xfrm>
              <a:off x="9883140" y="1562100"/>
              <a:ext cx="1485900" cy="41148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it-IT" sz="1400" b="1" i="0">
                  <a:latin typeface="Cambria Math" panose="02040503050406030204" pitchFamily="18" charset="0"/>
                </a:rPr>
                <a:t>𝒄   [€/(𝒌𝒎 ∙</a:t>
              </a:r>
              <a:r>
                <a:rPr lang="it-IT" sz="14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𝒒𝒖𝒊𝒏𝒕𝒂𝒍𝒆</a:t>
              </a:r>
              <a:r>
                <a:rPr lang="it-IT" sz="1100" b="1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it-IT" sz="14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 )</a:t>
              </a:r>
              <a:r>
                <a:rPr lang="it-IT" sz="1400" b="1" i="0">
                  <a:latin typeface="Cambria Math" panose="02040503050406030204" pitchFamily="18" charset="0"/>
                </a:rPr>
                <a:t>]</a:t>
              </a:r>
              <a:r>
                <a:rPr lang="it-IT" sz="1400" b="1"/>
                <a:t> </a:t>
              </a:r>
            </a:p>
          </xdr:txBody>
        </xdr:sp>
      </mc:Fallback>
    </mc:AlternateContent>
    <xdr:clientData/>
  </xdr:twoCellAnchor>
  <xdr:twoCellAnchor>
    <xdr:from>
      <xdr:col>13</xdr:col>
      <xdr:colOff>1120140</xdr:colOff>
      <xdr:row>4</xdr:row>
      <xdr:rowOff>121920</xdr:rowOff>
    </xdr:from>
    <xdr:to>
      <xdr:col>16</xdr:col>
      <xdr:colOff>45720</xdr:colOff>
      <xdr:row>6</xdr:row>
      <xdr:rowOff>0</xdr:rowOff>
    </xdr:to>
    <xdr:sp macro="" textlink="">
      <xdr:nvSpPr>
        <xdr:cNvPr id="8" name="CasellaDiTesto 7">
          <a:extLst>
            <a:ext uri="{FF2B5EF4-FFF2-40B4-BE49-F238E27FC236}">
              <a16:creationId xmlns:a16="http://schemas.microsoft.com/office/drawing/2014/main" id="{7CFD5142-DBDC-4D46-8836-59F775317003}"/>
            </a:ext>
          </a:extLst>
        </xdr:cNvPr>
        <xdr:cNvSpPr txBox="1"/>
      </xdr:nvSpPr>
      <xdr:spPr>
        <a:xfrm>
          <a:off x="12428220" y="868680"/>
          <a:ext cx="1333500" cy="2438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Numero di prodotti</a:t>
          </a:r>
        </a:p>
      </xdr:txBody>
    </xdr:sp>
    <xdr:clientData/>
  </xdr:twoCellAnchor>
  <xdr:twoCellAnchor>
    <xdr:from>
      <xdr:col>13</xdr:col>
      <xdr:colOff>708660</xdr:colOff>
      <xdr:row>5</xdr:row>
      <xdr:rowOff>60960</xdr:rowOff>
    </xdr:from>
    <xdr:to>
      <xdr:col>13</xdr:col>
      <xdr:colOff>1120140</xdr:colOff>
      <xdr:row>7</xdr:row>
      <xdr:rowOff>60960</xdr:rowOff>
    </xdr:to>
    <xdr:cxnSp macro="">
      <xdr:nvCxnSpPr>
        <xdr:cNvPr id="10" name="Connettore 2 9">
          <a:extLst>
            <a:ext uri="{FF2B5EF4-FFF2-40B4-BE49-F238E27FC236}">
              <a16:creationId xmlns:a16="http://schemas.microsoft.com/office/drawing/2014/main" id="{E395ED9B-7EBD-4F6B-AA6C-1451AA78489E}"/>
            </a:ext>
          </a:extLst>
        </xdr:cNvPr>
        <xdr:cNvCxnSpPr>
          <a:stCxn id="8" idx="1"/>
        </xdr:cNvCxnSpPr>
      </xdr:nvCxnSpPr>
      <xdr:spPr>
        <a:xfrm flipH="1">
          <a:off x="12016740" y="990600"/>
          <a:ext cx="411480" cy="373380"/>
        </a:xfrm>
        <a:prstGeom prst="straightConnector1">
          <a:avLst/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</xdr:row>
      <xdr:rowOff>91440</xdr:rowOff>
    </xdr:from>
    <xdr:to>
      <xdr:col>0</xdr:col>
      <xdr:colOff>937260</xdr:colOff>
      <xdr:row>7</xdr:row>
      <xdr:rowOff>121920</xdr:rowOff>
    </xdr:to>
    <xdr:cxnSp macro="">
      <xdr:nvCxnSpPr>
        <xdr:cNvPr id="12" name="Connettore 2 11">
          <a:extLst>
            <a:ext uri="{FF2B5EF4-FFF2-40B4-BE49-F238E27FC236}">
              <a16:creationId xmlns:a16="http://schemas.microsoft.com/office/drawing/2014/main" id="{70EE3C52-256C-4673-9F11-F7747DC923C8}"/>
            </a:ext>
          </a:extLst>
        </xdr:cNvPr>
        <xdr:cNvCxnSpPr/>
      </xdr:nvCxnSpPr>
      <xdr:spPr>
        <a:xfrm flipV="1">
          <a:off x="342900" y="640080"/>
          <a:ext cx="594360" cy="579120"/>
        </a:xfrm>
        <a:prstGeom prst="straightConnector1">
          <a:avLst/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32</xdr:row>
      <xdr:rowOff>121920</xdr:rowOff>
    </xdr:from>
    <xdr:to>
      <xdr:col>6</xdr:col>
      <xdr:colOff>777240</xdr:colOff>
      <xdr:row>34</xdr:row>
      <xdr:rowOff>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CasellaDiTesto 15">
              <a:extLst>
                <a:ext uri="{FF2B5EF4-FFF2-40B4-BE49-F238E27FC236}">
                  <a16:creationId xmlns:a16="http://schemas.microsoft.com/office/drawing/2014/main" id="{5E251041-B52B-4660-9F7C-8F799B033B8D}"/>
                </a:ext>
              </a:extLst>
            </xdr:cNvPr>
            <xdr:cNvSpPr txBox="1"/>
          </xdr:nvSpPr>
          <xdr:spPr>
            <a:xfrm>
              <a:off x="1066800" y="5090160"/>
              <a:ext cx="777240" cy="25908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it-IT" sz="11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1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  <m:sub>
                        <m:r>
                          <a:rPr lang="it-IT" sz="11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𝟏</m:t>
                        </m:r>
                        <m:r>
                          <a:rPr lang="it-IT" sz="11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𝒊𝒋</m:t>
                        </m:r>
                      </m:sub>
                    </m:sSub>
                  </m:oMath>
                </m:oMathPara>
              </a14:m>
              <a:endParaRPr lang="it-IT" sz="1100" b="1"/>
            </a:p>
          </xdr:txBody>
        </xdr:sp>
      </mc:Choice>
      <mc:Fallback xmlns="">
        <xdr:sp macro="" textlink="">
          <xdr:nvSpPr>
            <xdr:cNvPr id="16" name="CasellaDiTesto 15">
              <a:extLst>
                <a:ext uri="{FF2B5EF4-FFF2-40B4-BE49-F238E27FC236}">
                  <a16:creationId xmlns:a16="http://schemas.microsoft.com/office/drawing/2014/main" id="{5E251041-B52B-4660-9F7C-8F799B033B8D}"/>
                </a:ext>
              </a:extLst>
            </xdr:cNvPr>
            <xdr:cNvSpPr txBox="1"/>
          </xdr:nvSpPr>
          <xdr:spPr>
            <a:xfrm>
              <a:off x="1066800" y="5090160"/>
              <a:ext cx="777240" cy="25908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:r>
                <a:rPr lang="it-IT" sz="1100" b="1" i="0">
                  <a:solidFill>
                    <a:srgbClr val="FF0000"/>
                  </a:solidFill>
                  <a:latin typeface="Cambria Math" panose="02040503050406030204" pitchFamily="18" charset="0"/>
                </a:rPr>
                <a:t>𝒙_𝟏𝒊𝒋</a:t>
              </a:r>
              <a:endParaRPr lang="it-IT" sz="1100" b="1"/>
            </a:p>
          </xdr:txBody>
        </xdr:sp>
      </mc:Fallback>
    </mc:AlternateContent>
    <xdr:clientData/>
  </xdr:twoCellAnchor>
  <xdr:twoCellAnchor>
    <xdr:from>
      <xdr:col>0</xdr:col>
      <xdr:colOff>0</xdr:colOff>
      <xdr:row>34</xdr:row>
      <xdr:rowOff>0</xdr:rowOff>
    </xdr:from>
    <xdr:to>
      <xdr:col>2</xdr:col>
      <xdr:colOff>746760</xdr:colOff>
      <xdr:row>35</xdr:row>
      <xdr:rowOff>99060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CasellaDiTesto 18">
              <a:extLst>
                <a:ext uri="{FF2B5EF4-FFF2-40B4-BE49-F238E27FC236}">
                  <a16:creationId xmlns:a16="http://schemas.microsoft.com/office/drawing/2014/main" id="{D73A6815-E13B-4E87-9164-F9384AC18AA3}"/>
                </a:ext>
              </a:extLst>
            </xdr:cNvPr>
            <xdr:cNvSpPr txBox="1"/>
          </xdr:nvSpPr>
          <xdr:spPr>
            <a:xfrm>
              <a:off x="0" y="2910840"/>
              <a:ext cx="2598420" cy="28194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it-IT" sz="1100" b="1">
                  <a:solidFill>
                    <a:srgbClr val="FF0000"/>
                  </a:solidFill>
                </a:rPr>
                <a:t>Costo di gestione  </a:t>
              </a:r>
              <a14:m>
                <m:oMath xmlns:m="http://schemas.openxmlformats.org/officeDocument/2006/math">
                  <m:sSub>
                    <m:sSubPr>
                      <m:ctrlPr>
                        <a:rPr lang="it-IT" sz="1100" b="1" i="1">
                          <a:solidFill>
                            <a:srgbClr val="FF0000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it-IT" sz="1100" b="1" i="1">
                          <a:solidFill>
                            <a:srgbClr val="FF0000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𝒇</m:t>
                      </m:r>
                    </m:e>
                    <m:sub>
                      <m:r>
                        <a:rPr lang="it-IT" sz="1100" b="1" i="1">
                          <a:solidFill>
                            <a:srgbClr val="FF0000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𝒊</m:t>
                      </m:r>
                    </m:sub>
                  </m:sSub>
                </m:oMath>
              </a14:m>
              <a:r>
                <a:rPr lang="it-IT" sz="1100" b="1">
                  <a:solidFill>
                    <a:srgbClr val="FF0000"/>
                  </a:solidFill>
                  <a:effectLst/>
                  <a:latin typeface="+mn-lt"/>
                  <a:ea typeface="+mn-ea"/>
                  <a:cs typeface="+mn-cs"/>
                </a:rPr>
                <a:t>   </a:t>
              </a:r>
              <a:r>
                <a:rPr lang="it-IT" sz="1100" b="1">
                  <a:solidFill>
                    <a:srgbClr val="FF0000"/>
                  </a:solidFill>
                </a:rPr>
                <a:t> [€/gg]</a:t>
              </a:r>
            </a:p>
          </xdr:txBody>
        </xdr:sp>
      </mc:Choice>
      <mc:Fallback xmlns="">
        <xdr:sp macro="" textlink="">
          <xdr:nvSpPr>
            <xdr:cNvPr id="19" name="CasellaDiTesto 18">
              <a:extLst>
                <a:ext uri="{FF2B5EF4-FFF2-40B4-BE49-F238E27FC236}">
                  <a16:creationId xmlns:a16="http://schemas.microsoft.com/office/drawing/2014/main" id="{D73A6815-E13B-4E87-9164-F9384AC18AA3}"/>
                </a:ext>
              </a:extLst>
            </xdr:cNvPr>
            <xdr:cNvSpPr txBox="1"/>
          </xdr:nvSpPr>
          <xdr:spPr>
            <a:xfrm>
              <a:off x="0" y="2910840"/>
              <a:ext cx="2598420" cy="28194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it-IT" sz="1100" b="1">
                  <a:solidFill>
                    <a:srgbClr val="FF0000"/>
                  </a:solidFill>
                </a:rPr>
                <a:t>Costo di gestione  </a:t>
              </a:r>
              <a:r>
                <a:rPr lang="it-IT" sz="1100" b="1" i="0">
                  <a:solidFill>
                    <a:srgbClr val="FF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𝒇_𝒊</a:t>
              </a:r>
              <a:r>
                <a:rPr lang="it-IT" sz="1100" b="1">
                  <a:solidFill>
                    <a:srgbClr val="FF0000"/>
                  </a:solidFill>
                  <a:effectLst/>
                  <a:latin typeface="+mn-lt"/>
                  <a:ea typeface="+mn-ea"/>
                  <a:cs typeface="+mn-cs"/>
                </a:rPr>
                <a:t>   </a:t>
              </a:r>
              <a:r>
                <a:rPr lang="it-IT" sz="1100" b="1">
                  <a:solidFill>
                    <a:srgbClr val="FF0000"/>
                  </a:solidFill>
                </a:rPr>
                <a:t> [€/gg]</a:t>
              </a:r>
            </a:p>
          </xdr:txBody>
        </xdr:sp>
      </mc:Fallback>
    </mc:AlternateContent>
    <xdr:clientData/>
  </xdr:twoCellAnchor>
  <xdr:twoCellAnchor>
    <xdr:from>
      <xdr:col>6</xdr:col>
      <xdr:colOff>0</xdr:colOff>
      <xdr:row>40</xdr:row>
      <xdr:rowOff>121920</xdr:rowOff>
    </xdr:from>
    <xdr:to>
      <xdr:col>6</xdr:col>
      <xdr:colOff>777240</xdr:colOff>
      <xdr:row>42</xdr:row>
      <xdr:rowOff>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CasellaDiTesto 19">
              <a:extLst>
                <a:ext uri="{FF2B5EF4-FFF2-40B4-BE49-F238E27FC236}">
                  <a16:creationId xmlns:a16="http://schemas.microsoft.com/office/drawing/2014/main" id="{F617F937-BEBF-450B-AE5F-1A721F35FA0A}"/>
                </a:ext>
              </a:extLst>
            </xdr:cNvPr>
            <xdr:cNvSpPr txBox="1"/>
          </xdr:nvSpPr>
          <xdr:spPr>
            <a:xfrm>
              <a:off x="1066800" y="6210300"/>
              <a:ext cx="777240" cy="25908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it-IT" sz="11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1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  <m:sub>
                        <m:r>
                          <a:rPr lang="it-IT" sz="11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𝟐</m:t>
                        </m:r>
                        <m:r>
                          <a:rPr lang="it-IT" sz="11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𝒊𝒋</m:t>
                        </m:r>
                      </m:sub>
                    </m:sSub>
                  </m:oMath>
                </m:oMathPara>
              </a14:m>
              <a:endParaRPr lang="it-IT" sz="1100" b="1"/>
            </a:p>
          </xdr:txBody>
        </xdr:sp>
      </mc:Choice>
      <mc:Fallback xmlns="">
        <xdr:sp macro="" textlink="">
          <xdr:nvSpPr>
            <xdr:cNvPr id="20" name="CasellaDiTesto 19">
              <a:extLst>
                <a:ext uri="{FF2B5EF4-FFF2-40B4-BE49-F238E27FC236}">
                  <a16:creationId xmlns:a16="http://schemas.microsoft.com/office/drawing/2014/main" id="{F617F937-BEBF-450B-AE5F-1A721F35FA0A}"/>
                </a:ext>
              </a:extLst>
            </xdr:cNvPr>
            <xdr:cNvSpPr txBox="1"/>
          </xdr:nvSpPr>
          <xdr:spPr>
            <a:xfrm>
              <a:off x="1066800" y="6210300"/>
              <a:ext cx="777240" cy="25908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:r>
                <a:rPr lang="it-IT" sz="1100" b="1" i="0">
                  <a:solidFill>
                    <a:srgbClr val="FF0000"/>
                  </a:solidFill>
                  <a:latin typeface="Cambria Math" panose="02040503050406030204" pitchFamily="18" charset="0"/>
                </a:rPr>
                <a:t>𝒙_𝟐𝒊𝒋</a:t>
              </a:r>
              <a:endParaRPr lang="it-IT" sz="1100" b="1"/>
            </a:p>
          </xdr:txBody>
        </xdr:sp>
      </mc:Fallback>
    </mc:AlternateContent>
    <xdr:clientData/>
  </xdr:twoCellAnchor>
  <xdr:twoCellAnchor>
    <xdr:from>
      <xdr:col>0</xdr:col>
      <xdr:colOff>434340</xdr:colOff>
      <xdr:row>9</xdr:row>
      <xdr:rowOff>99060</xdr:rowOff>
    </xdr:from>
    <xdr:to>
      <xdr:col>3</xdr:col>
      <xdr:colOff>38100</xdr:colOff>
      <xdr:row>11</xdr:row>
      <xdr:rowOff>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CasellaDiTesto 16">
              <a:extLst>
                <a:ext uri="{FF2B5EF4-FFF2-40B4-BE49-F238E27FC236}">
                  <a16:creationId xmlns:a16="http://schemas.microsoft.com/office/drawing/2014/main" id="{89960CB1-9937-48AF-A74A-91C0A57B495C}"/>
                </a:ext>
              </a:extLst>
            </xdr:cNvPr>
            <xdr:cNvSpPr txBox="1"/>
          </xdr:nvSpPr>
          <xdr:spPr>
            <a:xfrm>
              <a:off x="434340" y="2072640"/>
              <a:ext cx="2240280" cy="28194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it-IT" sz="11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1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𝒄</m:t>
                        </m:r>
                      </m:e>
                      <m:sub>
                        <m:r>
                          <a:rPr lang="it-IT" sz="11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𝟏</m:t>
                        </m:r>
                        <m:r>
                          <a:rPr lang="it-IT" sz="11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𝒊𝒋</m:t>
                        </m:r>
                      </m:sub>
                    </m:sSub>
                    <m:r>
                      <a:rPr lang="it-IT" sz="11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r>
                      <a:rPr lang="it-IT" sz="11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𝒄</m:t>
                    </m:r>
                    <m:r>
                      <a:rPr lang="it-IT" sz="11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it-IT" sz="11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it-IT" sz="11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𝒅𝒊𝒔𝒕</m:t>
                        </m:r>
                      </m:e>
                      <m:sub>
                        <m:r>
                          <a:rPr lang="it-IT" sz="11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𝒊𝒋</m:t>
                        </m:r>
                      </m:sub>
                    </m:sSub>
                    <m:r>
                      <a:rPr lang="it-IT" sz="11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sSub>
                      <m:sSubPr>
                        <m:ctrlPr>
                          <a:rPr lang="it-IT" sz="11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it-IT" sz="11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𝒅</m:t>
                        </m:r>
                      </m:e>
                      <m:sub>
                        <m:r>
                          <a:rPr lang="it-IT" sz="11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𝟏</m:t>
                        </m:r>
                        <m:r>
                          <a:rPr lang="it-IT" sz="11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𝒋</m:t>
                        </m:r>
                      </m:sub>
                    </m:sSub>
                    <m:r>
                      <a:rPr lang="it-IT" sz="11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[€/</m:t>
                    </m:r>
                    <m:r>
                      <a:rPr lang="it-IT" sz="11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𝒈𝒈</m:t>
                    </m:r>
                    <m:r>
                      <a:rPr lang="it-IT" sz="11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it-IT" sz="1100" b="1"/>
            </a:p>
          </xdr:txBody>
        </xdr:sp>
      </mc:Choice>
      <mc:Fallback xmlns="">
        <xdr:sp macro="" textlink="">
          <xdr:nvSpPr>
            <xdr:cNvPr id="17" name="CasellaDiTesto 16">
              <a:extLst>
                <a:ext uri="{FF2B5EF4-FFF2-40B4-BE49-F238E27FC236}">
                  <a16:creationId xmlns:a16="http://schemas.microsoft.com/office/drawing/2014/main" id="{89960CB1-9937-48AF-A74A-91C0A57B495C}"/>
                </a:ext>
              </a:extLst>
            </xdr:cNvPr>
            <xdr:cNvSpPr txBox="1"/>
          </xdr:nvSpPr>
          <xdr:spPr>
            <a:xfrm>
              <a:off x="434340" y="2072640"/>
              <a:ext cx="2240280" cy="28194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:r>
                <a:rPr lang="it-IT" sz="1100" b="1" i="0">
                  <a:solidFill>
                    <a:srgbClr val="FF0000"/>
                  </a:solidFill>
                  <a:latin typeface="Cambria Math" panose="02040503050406030204" pitchFamily="18" charset="0"/>
                </a:rPr>
                <a:t>𝒄_𝟏𝒊𝒋=𝒄</a:t>
              </a:r>
              <a:r>
                <a:rPr lang="it-IT" sz="1100" b="1" i="0">
                  <a:solidFill>
                    <a:srgbClr val="FF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it-IT" sz="1100" b="1" i="0">
                  <a:solidFill>
                    <a:srgbClr val="FF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〖𝒅𝒊𝒔𝒕〗_𝒊𝒋</a:t>
              </a:r>
              <a:r>
                <a:rPr lang="it-IT" sz="1100" b="1" i="0">
                  <a:solidFill>
                    <a:srgbClr val="FF0000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it-IT" sz="1100" b="1" i="0">
                  <a:solidFill>
                    <a:srgbClr val="FF0000"/>
                  </a:solidFill>
                  <a:effectLst/>
                  <a:latin typeface="+mn-lt"/>
                  <a:ea typeface="+mn-ea"/>
                  <a:cs typeface="+mn-cs"/>
                </a:rPr>
                <a:t>𝒅_</a:t>
              </a:r>
              <a:r>
                <a:rPr lang="it-IT" sz="1100" b="1" i="0">
                  <a:solidFill>
                    <a:srgbClr val="FF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𝟏</a:t>
              </a:r>
              <a:r>
                <a:rPr lang="it-IT" sz="1100" b="1" i="0">
                  <a:solidFill>
                    <a:srgbClr val="FF0000"/>
                  </a:solidFill>
                  <a:effectLst/>
                  <a:latin typeface="+mn-lt"/>
                  <a:ea typeface="+mn-ea"/>
                  <a:cs typeface="+mn-cs"/>
                </a:rPr>
                <a:t>𝒋</a:t>
              </a:r>
              <a:r>
                <a:rPr lang="it-IT" sz="1100" b="1" i="0">
                  <a:solidFill>
                    <a:srgbClr val="FF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it-IT" sz="1100" b="1" i="0">
                  <a:solidFill>
                    <a:srgbClr val="FF0000"/>
                  </a:solidFill>
                  <a:latin typeface="Cambria Math" panose="02040503050406030204" pitchFamily="18" charset="0"/>
                </a:rPr>
                <a:t>[€/𝒈𝒈]</a:t>
              </a:r>
              <a:endParaRPr lang="it-IT" sz="1100" b="1"/>
            </a:p>
          </xdr:txBody>
        </xdr:sp>
      </mc:Fallback>
    </mc:AlternateContent>
    <xdr:clientData/>
  </xdr:twoCellAnchor>
  <xdr:twoCellAnchor>
    <xdr:from>
      <xdr:col>0</xdr:col>
      <xdr:colOff>525780</xdr:colOff>
      <xdr:row>18</xdr:row>
      <xdr:rowOff>83820</xdr:rowOff>
    </xdr:from>
    <xdr:to>
      <xdr:col>3</xdr:col>
      <xdr:colOff>15240</xdr:colOff>
      <xdr:row>19</xdr:row>
      <xdr:rowOff>175260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CasellaDiTesto 20">
              <a:extLst>
                <a:ext uri="{FF2B5EF4-FFF2-40B4-BE49-F238E27FC236}">
                  <a16:creationId xmlns:a16="http://schemas.microsoft.com/office/drawing/2014/main" id="{81AA746B-0E61-4C21-AA0F-3E71977E11DC}"/>
                </a:ext>
              </a:extLst>
            </xdr:cNvPr>
            <xdr:cNvSpPr txBox="1"/>
          </xdr:nvSpPr>
          <xdr:spPr>
            <a:xfrm>
              <a:off x="525780" y="3726180"/>
              <a:ext cx="2125980" cy="28194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it-IT" sz="11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1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𝒄</m:t>
                        </m:r>
                      </m:e>
                      <m:sub>
                        <m:r>
                          <a:rPr lang="it-IT" sz="11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𝟐</m:t>
                        </m:r>
                        <m:r>
                          <a:rPr lang="it-IT" sz="11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𝒊𝒋</m:t>
                        </m:r>
                      </m:sub>
                    </m:sSub>
                    <m:r>
                      <a:rPr lang="it-IT" sz="11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r>
                      <a:rPr lang="it-IT" sz="11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𝒄</m:t>
                    </m:r>
                    <m:r>
                      <a:rPr lang="it-IT" sz="11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b>
                      <m:sSubPr>
                        <m:ctrlPr>
                          <a:rPr lang="it-IT" sz="11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it-IT" sz="11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𝒅𝒊𝒔𝒕</m:t>
                        </m:r>
                      </m:e>
                      <m:sub>
                        <m:r>
                          <a:rPr lang="it-IT" sz="11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𝒊𝒋</m:t>
                        </m:r>
                      </m:sub>
                    </m:sSub>
                    <m:r>
                      <a:rPr lang="it-IT" sz="1100" b="1" i="1">
                        <a:solidFill>
                          <a:srgbClr val="FF0000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sSub>
                      <m:sSubPr>
                        <m:ctrlPr>
                          <a:rPr lang="it-IT" sz="11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it-IT" sz="11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𝒅</m:t>
                        </m:r>
                      </m:e>
                      <m:sub>
                        <m:r>
                          <a:rPr lang="it-IT" sz="11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𝟐</m:t>
                        </m:r>
                        <m:r>
                          <a:rPr lang="it-IT" sz="1100" b="1" i="1">
                            <a:solidFill>
                              <a:srgbClr val="FF0000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𝒋</m:t>
                        </m:r>
                      </m:sub>
                    </m:sSub>
                    <m:r>
                      <a:rPr lang="it-IT" sz="11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[€/</m:t>
                    </m:r>
                    <m:r>
                      <a:rPr lang="it-IT" sz="11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𝒈𝒈</m:t>
                    </m:r>
                    <m:r>
                      <a:rPr lang="it-IT" sz="11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it-IT" sz="1100" b="1"/>
            </a:p>
          </xdr:txBody>
        </xdr:sp>
      </mc:Choice>
      <mc:Fallback xmlns="">
        <xdr:sp macro="" textlink="">
          <xdr:nvSpPr>
            <xdr:cNvPr id="21" name="CasellaDiTesto 20">
              <a:extLst>
                <a:ext uri="{FF2B5EF4-FFF2-40B4-BE49-F238E27FC236}">
                  <a16:creationId xmlns:a16="http://schemas.microsoft.com/office/drawing/2014/main" id="{81AA746B-0E61-4C21-AA0F-3E71977E11DC}"/>
                </a:ext>
              </a:extLst>
            </xdr:cNvPr>
            <xdr:cNvSpPr txBox="1"/>
          </xdr:nvSpPr>
          <xdr:spPr>
            <a:xfrm>
              <a:off x="525780" y="3726180"/>
              <a:ext cx="2125980" cy="28194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:r>
                <a:rPr lang="it-IT" sz="1100" b="1" i="0">
                  <a:solidFill>
                    <a:srgbClr val="FF0000"/>
                  </a:solidFill>
                  <a:latin typeface="Cambria Math" panose="02040503050406030204" pitchFamily="18" charset="0"/>
                </a:rPr>
                <a:t>𝒄_𝟐𝒊𝒋=</a:t>
              </a:r>
              <a:r>
                <a:rPr lang="it-IT" sz="1100" b="1" i="0">
                  <a:solidFill>
                    <a:srgbClr val="FF0000"/>
                  </a:solidFill>
                  <a:effectLst/>
                  <a:latin typeface="+mn-lt"/>
                  <a:ea typeface="+mn-ea"/>
                  <a:cs typeface="+mn-cs"/>
                </a:rPr>
                <a:t>𝒄∙</a:t>
              </a:r>
              <a:r>
                <a:rPr lang="it-IT" sz="1100" b="1" i="0">
                  <a:solidFill>
                    <a:srgbClr val="FF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〖𝒅𝒊𝒔𝒕〗_𝒊𝒋</a:t>
              </a:r>
              <a:r>
                <a:rPr lang="it-IT" sz="1100" b="1" i="0">
                  <a:solidFill>
                    <a:srgbClr val="FF0000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∙𝒅_𝟐𝒋 </a:t>
              </a:r>
              <a:r>
                <a:rPr lang="it-IT" sz="1100" b="1" i="0">
                  <a:solidFill>
                    <a:srgbClr val="FF0000"/>
                  </a:solidFill>
                  <a:latin typeface="Cambria Math" panose="02040503050406030204" pitchFamily="18" charset="0"/>
                </a:rPr>
                <a:t>[€/𝒈𝒈]</a:t>
              </a:r>
              <a:endParaRPr lang="it-IT" sz="1100" b="1"/>
            </a:p>
          </xdr:txBody>
        </xdr:sp>
      </mc:Fallback>
    </mc:AlternateContent>
    <xdr:clientData/>
  </xdr:twoCellAnchor>
  <xdr:twoCellAnchor>
    <xdr:from>
      <xdr:col>12</xdr:col>
      <xdr:colOff>381000</xdr:colOff>
      <xdr:row>22</xdr:row>
      <xdr:rowOff>137160</xdr:rowOff>
    </xdr:from>
    <xdr:to>
      <xdr:col>14</xdr:col>
      <xdr:colOff>541020</xdr:colOff>
      <xdr:row>27</xdr:row>
      <xdr:rowOff>99060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CasellaDiTesto 12">
              <a:extLst>
                <a:ext uri="{FF2B5EF4-FFF2-40B4-BE49-F238E27FC236}">
                  <a16:creationId xmlns:a16="http://schemas.microsoft.com/office/drawing/2014/main" id="{AA4CD783-5D5A-40E9-9B63-BA57CB9ED671}"/>
                </a:ext>
              </a:extLst>
            </xdr:cNvPr>
            <xdr:cNvSpPr txBox="1"/>
          </xdr:nvSpPr>
          <xdr:spPr>
            <a:xfrm>
              <a:off x="9578340" y="4526280"/>
              <a:ext cx="3459480" cy="88392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pHide m:val="on"/>
                        <m:ctrlPr>
                          <a:rPr lang="it-IT" sz="160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7"/>
                          </m:rPr>
                          <a:rPr lang="it-IT" sz="1600" b="0" i="1">
                            <a:latin typeface="Cambria Math" panose="02040503050406030204" pitchFamily="18" charset="0"/>
                          </a:rPr>
                          <m:t>𝑖</m:t>
                        </m:r>
                        <m:r>
                          <a:rPr lang="it-IT" sz="16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𝜖</m:t>
                        </m:r>
                        <m:sSub>
                          <m:sSubPr>
                            <m:ctrlPr>
                              <a:rPr lang="it-IT" sz="16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it-IT" sz="16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𝑉</m:t>
                            </m:r>
                          </m:e>
                          <m:sub>
                            <m:r>
                              <a:rPr lang="it-IT" sz="16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sub>
                        </m:sSub>
                      </m:sub>
                      <m:sup/>
                      <m:e>
                        <m:sSub>
                          <m:sSubPr>
                            <m:ctrlPr>
                              <a:rPr lang="it-IT" sz="16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it-IT" sz="16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e>
                          <m:sub>
                            <m:r>
                              <a:rPr lang="it-IT" sz="16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  <m:r>
                          <a:rPr lang="it-IT" sz="16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it-IT" sz="16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it-IT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𝑦</m:t>
                            </m:r>
                          </m:e>
                          <m:sub>
                            <m:r>
                              <a:rPr lang="it-IT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  <m:r>
                          <a:rPr lang="it-IT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 </m:t>
                        </m:r>
                        <m:nary>
                          <m:naryPr>
                            <m:chr m:val="∑"/>
                            <m:supHide m:val="on"/>
                            <m:ctrlPr>
                              <a:rPr lang="it-IT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naryPr>
                          <m:sub>
                            <m:r>
                              <m:rPr>
                                <m:brk m:alnAt="7"/>
                              </m:rPr>
                              <a:rPr lang="it-IT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𝑝</m:t>
                            </m:r>
                            <m:r>
                              <a:rPr lang="it-IT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𝜖</m:t>
                            </m:r>
                            <m:r>
                              <a:rPr lang="it-IT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𝑃</m:t>
                            </m:r>
                          </m:sub>
                          <m:sup/>
                          <m:e>
                            <m:nary>
                              <m:naryPr>
                                <m:chr m:val="∑"/>
                                <m:supHide m:val="on"/>
                                <m:ctrlPr>
                                  <a:rPr lang="it-IT" sz="16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naryPr>
                              <m:sub>
                                <m:r>
                                  <m:rPr>
                                    <m:brk m:alnAt="7"/>
                                  </m:rPr>
                                  <a:rPr lang="it-IT" sz="16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𝑖</m:t>
                                </m:r>
                                <m:r>
                                  <a:rPr lang="it-IT" sz="16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𝜖</m:t>
                                </m:r>
                                <m:sSub>
                                  <m:sSubPr>
                                    <m:ctrlPr>
                                      <a:rPr lang="it-IT" sz="16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it-IT" sz="16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𝑉</m:t>
                                    </m:r>
                                  </m:e>
                                  <m:sub>
                                    <m:r>
                                      <a:rPr lang="it-IT" sz="16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1</m:t>
                                    </m:r>
                                  </m:sub>
                                </m:sSub>
                              </m:sub>
                              <m:sup/>
                              <m:e>
                                <m:nary>
                                  <m:naryPr>
                                    <m:chr m:val="∑"/>
                                    <m:supHide m:val="on"/>
                                    <m:ctrlPr>
                                      <a:rPr lang="it-IT" sz="1600" b="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naryPr>
                                  <m:sub>
                                    <m:r>
                                      <a:rPr lang="it-IT" sz="1600" b="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𝑗</m:t>
                                    </m:r>
                                    <m:r>
                                      <a:rPr lang="it-IT" sz="1600" b="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𝜖</m:t>
                                    </m:r>
                                    <m:sSub>
                                      <m:sSubPr>
                                        <m:ctrlPr>
                                          <a:rPr lang="it-IT" sz="1600" b="0" i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it-IT" sz="1600" b="0" i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𝑉</m:t>
                                        </m:r>
                                      </m:e>
                                      <m:sub>
                                        <m:r>
                                          <a:rPr lang="it-IT" sz="1600" b="0" i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2</m:t>
                                        </m:r>
                                      </m:sub>
                                    </m:sSub>
                                  </m:sub>
                                  <m:sup/>
                                  <m:e>
                                    <m:sSub>
                                      <m:sSubPr>
                                        <m:ctrlPr>
                                          <a:rPr lang="it-IT" sz="1600" b="0" i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it-IT" sz="1600" b="0" i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𝑐</m:t>
                                        </m:r>
                                      </m:e>
                                      <m:sub>
                                        <m:r>
                                          <a:rPr lang="it-IT" sz="1600" b="0" i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𝑝𝑖𝑗</m:t>
                                        </m:r>
                                      </m:sub>
                                    </m:sSub>
                                    <m:r>
                                      <a:rPr lang="it-IT" sz="1600" b="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∙</m:t>
                                    </m:r>
                                    <m:sSub>
                                      <m:sSubPr>
                                        <m:ctrlPr>
                                          <a:rPr lang="it-IT" sz="1600" b="0" i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it-IT" sz="1600" b="0" i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  <m:t>𝑥</m:t>
                                        </m:r>
                                      </m:e>
                                      <m:sub>
                                        <m:r>
                                          <a:rPr lang="it-IT" sz="1600" b="0" i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  <m:t>𝑝𝑖𝑗</m:t>
                                        </m:r>
                                      </m:sub>
                                    </m:sSub>
                                  </m:e>
                                </m:nary>
                              </m:e>
                            </m:nary>
                          </m:e>
                        </m:nary>
                      </m:e>
                    </m:nary>
                  </m:oMath>
                </m:oMathPara>
              </a14:m>
              <a:endParaRPr lang="it-IT" sz="1100"/>
            </a:p>
          </xdr:txBody>
        </xdr:sp>
      </mc:Choice>
      <mc:Fallback xmlns="">
        <xdr:sp macro="" textlink="">
          <xdr:nvSpPr>
            <xdr:cNvPr id="13" name="CasellaDiTesto 12">
              <a:extLst>
                <a:ext uri="{FF2B5EF4-FFF2-40B4-BE49-F238E27FC236}">
                  <a16:creationId xmlns:a16="http://schemas.microsoft.com/office/drawing/2014/main" id="{AA4CD783-5D5A-40E9-9B63-BA57CB9ED671}"/>
                </a:ext>
              </a:extLst>
            </xdr:cNvPr>
            <xdr:cNvSpPr txBox="1"/>
          </xdr:nvSpPr>
          <xdr:spPr>
            <a:xfrm>
              <a:off x="9578340" y="4526280"/>
              <a:ext cx="3459480" cy="88392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it-IT" sz="1600" i="0">
                  <a:latin typeface="Cambria Math" panose="02040503050406030204" pitchFamily="18" charset="0"/>
                </a:rPr>
                <a:t>∑8_(</a:t>
              </a:r>
              <a:r>
                <a:rPr lang="it-IT" sz="1600" b="0" i="0">
                  <a:latin typeface="Cambria Math" panose="02040503050406030204" pitchFamily="18" charset="0"/>
                </a:rPr>
                <a:t>𝑖</a:t>
              </a:r>
              <a:r>
                <a:rPr lang="it-IT" sz="1600" b="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𝜖𝑉_1</a:t>
              </a:r>
              <a:r>
                <a:rPr lang="it-IT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)▒〖</a:t>
              </a:r>
              <a:r>
                <a:rPr lang="it-IT" sz="1600" b="0" i="0">
                  <a:latin typeface="Cambria Math" panose="02040503050406030204" pitchFamily="18" charset="0"/>
                </a:rPr>
                <a:t>𝑓_𝑖</a:t>
              </a:r>
              <a:r>
                <a:rPr lang="it-IT" sz="16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it-IT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𝑦_𝑖+ ∑8_𝑝𝜖𝑃▒∑8_(𝑖𝜖𝑉_1)▒</a:t>
              </a:r>
              <a:r>
                <a:rPr lang="it-IT" sz="1600" b="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∑_(</a:t>
              </a:r>
              <a:r>
                <a:rPr lang="it-IT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</a:t>
              </a:r>
              <a:r>
                <a:rPr lang="it-IT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𝜖</a:t>
              </a:r>
              <a:r>
                <a:rPr lang="it-IT" sz="1600" b="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𝑉_</a:t>
              </a:r>
              <a:r>
                <a:rPr lang="it-IT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it-IT" sz="1600" b="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)▒〖</a:t>
              </a:r>
              <a:r>
                <a:rPr lang="it-IT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𝑐_𝑝𝑖𝑗</a:t>
              </a:r>
              <a:r>
                <a:rPr lang="it-IT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∙𝑥_𝑝𝑖𝑗</a:t>
              </a:r>
              <a:r>
                <a:rPr lang="it-IT" sz="1600" b="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〗</a:t>
              </a:r>
              <a:r>
                <a:rPr lang="it-IT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endParaRPr lang="it-IT" sz="1100"/>
            </a:p>
          </xdr:txBody>
        </xdr:sp>
      </mc:Fallback>
    </mc:AlternateContent>
    <xdr:clientData/>
  </xdr:twoCellAnchor>
  <xdr:twoCellAnchor>
    <xdr:from>
      <xdr:col>13</xdr:col>
      <xdr:colOff>0</xdr:colOff>
      <xdr:row>19</xdr:row>
      <xdr:rowOff>121920</xdr:rowOff>
    </xdr:from>
    <xdr:to>
      <xdr:col>13</xdr:col>
      <xdr:colOff>144780</xdr:colOff>
      <xdr:row>22</xdr:row>
      <xdr:rowOff>137160</xdr:rowOff>
    </xdr:to>
    <xdr:cxnSp macro="">
      <xdr:nvCxnSpPr>
        <xdr:cNvPr id="22" name="Connettore 2 21">
          <a:extLst>
            <a:ext uri="{FF2B5EF4-FFF2-40B4-BE49-F238E27FC236}">
              <a16:creationId xmlns:a16="http://schemas.microsoft.com/office/drawing/2014/main" id="{5F1445A3-32D3-42F0-AD41-94C9EA8220D6}"/>
            </a:ext>
          </a:extLst>
        </xdr:cNvPr>
        <xdr:cNvCxnSpPr>
          <a:stCxn id="13" idx="0"/>
        </xdr:cNvCxnSpPr>
      </xdr:nvCxnSpPr>
      <xdr:spPr>
        <a:xfrm flipV="1">
          <a:off x="11308080" y="3954780"/>
          <a:ext cx="144780" cy="571500"/>
        </a:xfrm>
        <a:prstGeom prst="straightConnector1">
          <a:avLst/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1059180</xdr:colOff>
      <xdr:row>59</xdr:row>
      <xdr:rowOff>30480</xdr:rowOff>
    </xdr:from>
    <xdr:to>
      <xdr:col>4</xdr:col>
      <xdr:colOff>769620</xdr:colOff>
      <xdr:row>64</xdr:row>
      <xdr:rowOff>121920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CasellaDiTesto 23">
              <a:extLst>
                <a:ext uri="{FF2B5EF4-FFF2-40B4-BE49-F238E27FC236}">
                  <a16:creationId xmlns:a16="http://schemas.microsoft.com/office/drawing/2014/main" id="{EF712760-0D72-4BF3-B048-144862C7E5E2}"/>
                </a:ext>
              </a:extLst>
            </xdr:cNvPr>
            <xdr:cNvSpPr txBox="1"/>
          </xdr:nvSpPr>
          <xdr:spPr>
            <a:xfrm>
              <a:off x="1059180" y="11300460"/>
              <a:ext cx="3131820" cy="100584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14:m>
                <m:oMath xmlns:m="http://schemas.openxmlformats.org/officeDocument/2006/math">
                  <m:nary>
                    <m:naryPr>
                      <m:chr m:val="∑"/>
                      <m:supHide m:val="on"/>
                      <m:ctrlPr>
                        <a:rPr lang="it-IT" sz="2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naryPr>
                    <m:sub>
                      <m:r>
                        <a:rPr lang="it-IT" sz="2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𝑖</m:t>
                      </m:r>
                      <m:r>
                        <a:rPr lang="it-IT" sz="2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𝜖</m:t>
                      </m:r>
                      <m:sSub>
                        <m:sSubPr>
                          <m:ctrlPr>
                            <a:rPr lang="it-IT" sz="24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it-IT" sz="24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a:rPr lang="it-IT" sz="24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1</m:t>
                          </m:r>
                        </m:sub>
                      </m:sSub>
                    </m:sub>
                    <m:sup/>
                    <m:e>
                      <m:sSub>
                        <m:sSubPr>
                          <m:ctrlPr>
                            <a:rPr lang="it-IT" sz="24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it-IT" sz="24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𝑥</m:t>
                          </m:r>
                        </m:e>
                        <m:sub>
                          <m:r>
                            <a:rPr lang="it-IT" sz="24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𝑝𝑖𝑗</m:t>
                          </m:r>
                        </m:sub>
                      </m:sSub>
                      <m:r>
                        <a:rPr lang="it-IT" sz="2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=1</m:t>
                      </m:r>
                    </m:e>
                  </m:nary>
                </m:oMath>
              </a14:m>
              <a:r>
                <a:rPr lang="it-IT" sz="1400"/>
                <a:t>  </a:t>
              </a:r>
              <a14:m>
                <m:oMath xmlns:m="http://schemas.openxmlformats.org/officeDocument/2006/math">
                  <m:r>
                    <a:rPr lang="it-IT" sz="140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∀</m:t>
                  </m:r>
                  <m:r>
                    <a:rPr lang="it-IT" sz="14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𝑝</m:t>
                  </m:r>
                  <m:r>
                    <a:rPr lang="it-IT" sz="14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, ∀</m:t>
                  </m:r>
                  <m:r>
                    <a:rPr lang="it-IT" sz="14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𝑗</m:t>
                  </m:r>
                </m:oMath>
              </a14:m>
              <a:endParaRPr lang="it-IT" sz="1100"/>
            </a:p>
          </xdr:txBody>
        </xdr:sp>
      </mc:Choice>
      <mc:Fallback xmlns="">
        <xdr:sp macro="" textlink="">
          <xdr:nvSpPr>
            <xdr:cNvPr id="24" name="CasellaDiTesto 23">
              <a:extLst>
                <a:ext uri="{FF2B5EF4-FFF2-40B4-BE49-F238E27FC236}">
                  <a16:creationId xmlns:a16="http://schemas.microsoft.com/office/drawing/2014/main" id="{EF712760-0D72-4BF3-B048-144862C7E5E2}"/>
                </a:ext>
              </a:extLst>
            </xdr:cNvPr>
            <xdr:cNvSpPr txBox="1"/>
          </xdr:nvSpPr>
          <xdr:spPr>
            <a:xfrm>
              <a:off x="1059180" y="11300460"/>
              <a:ext cx="3131820" cy="100584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it-IT" sz="2400" b="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∑_(</a:t>
              </a:r>
              <a:r>
                <a:rPr lang="it-IT" sz="2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</a:t>
              </a:r>
              <a:r>
                <a:rPr lang="it-IT" sz="2400" b="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𝜖𝑉_</a:t>
              </a:r>
              <a:r>
                <a:rPr lang="it-IT" sz="2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1</a:t>
              </a:r>
              <a:r>
                <a:rPr lang="it-IT" sz="2400" b="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)▒〖𝑥_𝑝𝑖𝑗</a:t>
              </a:r>
              <a:r>
                <a:rPr lang="it-IT" sz="2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=1</a:t>
              </a:r>
              <a:r>
                <a:rPr lang="it-IT" sz="2400" b="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〗</a:t>
              </a:r>
              <a:r>
                <a:rPr lang="it-IT" sz="1400"/>
                <a:t>  </a:t>
              </a:r>
              <a:r>
                <a:rPr lang="it-IT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∀</a:t>
              </a:r>
              <a:r>
                <a:rPr lang="it-IT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𝑝 , ∀𝑗</a:t>
              </a:r>
              <a:endParaRPr lang="it-IT" sz="1100"/>
            </a:p>
          </xdr:txBody>
        </xdr:sp>
      </mc:Fallback>
    </mc:AlternateContent>
    <xdr:clientData/>
  </xdr:twoCellAnchor>
  <xdr:twoCellAnchor>
    <xdr:from>
      <xdr:col>6</xdr:col>
      <xdr:colOff>525780</xdr:colOff>
      <xdr:row>57</xdr:row>
      <xdr:rowOff>167640</xdr:rowOff>
    </xdr:from>
    <xdr:to>
      <xdr:col>11</xdr:col>
      <xdr:colOff>906780</xdr:colOff>
      <xdr:row>62</xdr:row>
      <xdr:rowOff>175260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CasellaDiTesto 24">
              <a:extLst>
                <a:ext uri="{FF2B5EF4-FFF2-40B4-BE49-F238E27FC236}">
                  <a16:creationId xmlns:a16="http://schemas.microsoft.com/office/drawing/2014/main" id="{EAE213E1-9B0D-4CA6-A360-87668880BF77}"/>
                </a:ext>
              </a:extLst>
            </xdr:cNvPr>
            <xdr:cNvSpPr txBox="1"/>
          </xdr:nvSpPr>
          <xdr:spPr>
            <a:xfrm>
              <a:off x="5516880" y="11102340"/>
              <a:ext cx="4274820" cy="92202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pHide m:val="on"/>
                        <m:ctrlPr>
                          <a:rPr lang="it-IT" sz="180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7"/>
                          </m:rPr>
                          <a:rPr lang="it-IT" sz="1800" b="0" i="1">
                            <a:latin typeface="Cambria Math" panose="02040503050406030204" pitchFamily="18" charset="0"/>
                          </a:rPr>
                          <m:t>𝑝</m:t>
                        </m:r>
                        <m:r>
                          <a:rPr lang="it-IT" sz="18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∈</m:t>
                        </m:r>
                        <m:r>
                          <a:rPr lang="it-IT" sz="18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sub>
                      <m:sup/>
                      <m:e>
                        <m:nary>
                          <m:naryPr>
                            <m:chr m:val="∑"/>
                            <m:supHide m:val="on"/>
                            <m:ctrlPr>
                              <a:rPr lang="it-IT" sz="180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>
                            <m:r>
                              <m:rPr>
                                <m:brk m:alnAt="7"/>
                              </m:rPr>
                              <a:rPr lang="it-IT" sz="1800" b="0" i="1">
                                <a:latin typeface="Cambria Math" panose="02040503050406030204" pitchFamily="18" charset="0"/>
                              </a:rPr>
                              <m:t>𝑗</m:t>
                            </m:r>
                            <m:r>
                              <a:rPr lang="it-IT" sz="18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∈</m:t>
                            </m:r>
                            <m:sSub>
                              <m:sSubPr>
                                <m:ctrlPr>
                                  <a:rPr lang="it-IT" sz="18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it-IT" sz="18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𝑉</m:t>
                                </m:r>
                              </m:e>
                              <m:sub>
                                <m:r>
                                  <a:rPr lang="it-IT" sz="18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2</m:t>
                                </m:r>
                              </m:sub>
                            </m:sSub>
                          </m:sub>
                          <m:sup/>
                          <m:e>
                            <m:sSub>
                              <m:sSubPr>
                                <m:ctrlPr>
                                  <a:rPr lang="it-IT" sz="180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it-IT" sz="1800" b="0" i="1">
                                    <a:latin typeface="Cambria Math" panose="02040503050406030204" pitchFamily="18" charset="0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it-IT" sz="1800" b="0" i="1">
                                    <a:latin typeface="Cambria Math" panose="02040503050406030204" pitchFamily="18" charset="0"/>
                                  </a:rPr>
                                  <m:t>𝑝𝑗</m:t>
                                </m:r>
                              </m:sub>
                            </m:sSub>
                            <m:r>
                              <a:rPr lang="it-IT" sz="18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it-IT" sz="18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it-IT" sz="18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it-IT" sz="18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𝑝𝑖𝑗</m:t>
                                </m:r>
                              </m:sub>
                            </m:sSub>
                            <m:r>
                              <a:rPr lang="it-IT" sz="18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≤</m:t>
                            </m:r>
                            <m:sSub>
                              <m:sSubPr>
                                <m:ctrlPr>
                                  <a:rPr lang="it-IT" sz="18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it-IT" sz="18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𝑞</m:t>
                                </m:r>
                              </m:e>
                              <m:sub>
                                <m:r>
                                  <a:rPr lang="it-IT" sz="18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</m:sSub>
                          </m:e>
                        </m:nary>
                      </m:e>
                    </m:nary>
                    <m:sSub>
                      <m:sSubPr>
                        <m:ctrlPr>
                          <a:rPr lang="it-IT" sz="18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800" b="0" i="1">
                            <a:latin typeface="Cambria Math" panose="02040503050406030204" pitchFamily="18" charset="0"/>
                          </a:rPr>
                          <m:t>𝑦</m:t>
                        </m:r>
                      </m:e>
                      <m:sub>
                        <m:r>
                          <a:rPr lang="it-IT" sz="18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it-IT" sz="1800" b="0" i="1">
                        <a:latin typeface="Cambria Math" panose="02040503050406030204" pitchFamily="18" charset="0"/>
                      </a:rPr>
                      <m:t>     </m:t>
                    </m:r>
                    <m:r>
                      <a:rPr lang="it-IT" sz="1800" b="0" i="1">
                        <a:latin typeface="Cambria Math" panose="02040503050406030204" pitchFamily="18" charset="0"/>
                      </a:rPr>
                      <m:t>𝑖</m:t>
                    </m:r>
                    <m:r>
                      <a:rPr lang="it-IT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∈</m:t>
                    </m:r>
                    <m:sSub>
                      <m:sSubPr>
                        <m:ctrlPr>
                          <a:rPr lang="it-IT" sz="18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8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𝑉</m:t>
                        </m:r>
                      </m:e>
                      <m:sub>
                        <m:r>
                          <a:rPr lang="it-IT" sz="18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sub>
                    </m:sSub>
                  </m:oMath>
                </m:oMathPara>
              </a14:m>
              <a:endParaRPr lang="it-IT" sz="1100"/>
            </a:p>
          </xdr:txBody>
        </xdr:sp>
      </mc:Choice>
      <mc:Fallback xmlns="">
        <xdr:sp macro="" textlink="">
          <xdr:nvSpPr>
            <xdr:cNvPr id="25" name="CasellaDiTesto 24">
              <a:extLst>
                <a:ext uri="{FF2B5EF4-FFF2-40B4-BE49-F238E27FC236}">
                  <a16:creationId xmlns:a16="http://schemas.microsoft.com/office/drawing/2014/main" id="{EAE213E1-9B0D-4CA6-A360-87668880BF77}"/>
                </a:ext>
              </a:extLst>
            </xdr:cNvPr>
            <xdr:cNvSpPr txBox="1"/>
          </xdr:nvSpPr>
          <xdr:spPr>
            <a:xfrm>
              <a:off x="5516880" y="11102340"/>
              <a:ext cx="4274820" cy="92202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it-IT" sz="1800" i="0">
                  <a:latin typeface="Cambria Math" panose="02040503050406030204" pitchFamily="18" charset="0"/>
                </a:rPr>
                <a:t>∑8_(</a:t>
              </a:r>
              <a:r>
                <a:rPr lang="it-IT" sz="1800" b="0" i="0">
                  <a:latin typeface="Cambria Math" panose="02040503050406030204" pitchFamily="18" charset="0"/>
                </a:rPr>
                <a:t>𝑝</a:t>
              </a:r>
              <a:r>
                <a:rPr lang="it-IT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∈𝑃)▒∑8_(</a:t>
              </a:r>
              <a:r>
                <a:rPr lang="it-IT" sz="1800" b="0" i="0">
                  <a:latin typeface="Cambria Math" panose="02040503050406030204" pitchFamily="18" charset="0"/>
                </a:rPr>
                <a:t>𝑗</a:t>
              </a:r>
              <a:r>
                <a:rPr lang="it-IT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∈𝑉_2)▒〖</a:t>
              </a:r>
              <a:r>
                <a:rPr lang="it-IT" sz="1800" b="0" i="0">
                  <a:latin typeface="Cambria Math" panose="02040503050406030204" pitchFamily="18" charset="0"/>
                </a:rPr>
                <a:t>𝑑_𝑝𝑗</a:t>
              </a:r>
              <a:r>
                <a:rPr lang="it-IT" sz="18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it-IT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𝑥_𝑝𝑖𝑗</a:t>
              </a:r>
              <a:r>
                <a:rPr lang="it-IT" sz="18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it-IT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𝑞_𝑖 〗 </a:t>
              </a:r>
              <a:r>
                <a:rPr lang="it-IT" sz="1800" b="0" i="0">
                  <a:latin typeface="Cambria Math" panose="02040503050406030204" pitchFamily="18" charset="0"/>
                </a:rPr>
                <a:t>𝑦_𝑖      𝑖</a:t>
              </a:r>
              <a:r>
                <a:rPr lang="it-IT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∈𝑉_1</a:t>
              </a:r>
              <a:endParaRPr lang="it-IT" sz="1100"/>
            </a:p>
          </xdr:txBody>
        </xdr:sp>
      </mc:Fallback>
    </mc:AlternateContent>
    <xdr:clientData/>
  </xdr:twoCellAnchor>
  <xdr:twoCellAnchor>
    <xdr:from>
      <xdr:col>0</xdr:col>
      <xdr:colOff>0</xdr:colOff>
      <xdr:row>29</xdr:row>
      <xdr:rowOff>0</xdr:rowOff>
    </xdr:from>
    <xdr:to>
      <xdr:col>2</xdr:col>
      <xdr:colOff>746760</xdr:colOff>
      <xdr:row>30</xdr:row>
      <xdr:rowOff>114300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CasellaDiTesto 25">
              <a:extLst>
                <a:ext uri="{FF2B5EF4-FFF2-40B4-BE49-F238E27FC236}">
                  <a16:creationId xmlns:a16="http://schemas.microsoft.com/office/drawing/2014/main" id="{493E147F-B58D-40C0-8D16-D193A363130E}"/>
                </a:ext>
              </a:extLst>
            </xdr:cNvPr>
            <xdr:cNvSpPr txBox="1"/>
          </xdr:nvSpPr>
          <xdr:spPr>
            <a:xfrm>
              <a:off x="0" y="5676900"/>
              <a:ext cx="2598420" cy="28194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it-IT" sz="1100" b="1">
                  <a:solidFill>
                    <a:srgbClr val="FF0000"/>
                  </a:solidFill>
                </a:rPr>
                <a:t>Costo di gestione  </a:t>
              </a:r>
              <a14:m>
                <m:oMath xmlns:m="http://schemas.openxmlformats.org/officeDocument/2006/math">
                  <m:sSub>
                    <m:sSubPr>
                      <m:ctrlPr>
                        <a:rPr lang="it-IT" sz="1100" b="1" i="1">
                          <a:solidFill>
                            <a:srgbClr val="FF0000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it-IT" sz="1100" b="1" i="1">
                          <a:solidFill>
                            <a:srgbClr val="FF0000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𝒇</m:t>
                      </m:r>
                    </m:e>
                    <m:sub>
                      <m:r>
                        <a:rPr lang="it-IT" sz="1100" b="1" i="1">
                          <a:solidFill>
                            <a:srgbClr val="FF0000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𝒊</m:t>
                      </m:r>
                    </m:sub>
                  </m:sSub>
                </m:oMath>
              </a14:m>
              <a:r>
                <a:rPr lang="it-IT" sz="1100" b="1">
                  <a:solidFill>
                    <a:srgbClr val="FF0000"/>
                  </a:solidFill>
                  <a:effectLst/>
                  <a:latin typeface="+mn-lt"/>
                  <a:ea typeface="+mn-ea"/>
                  <a:cs typeface="+mn-cs"/>
                </a:rPr>
                <a:t>   </a:t>
              </a:r>
              <a:r>
                <a:rPr lang="it-IT" sz="1100" b="1">
                  <a:solidFill>
                    <a:srgbClr val="FF0000"/>
                  </a:solidFill>
                </a:rPr>
                <a:t> [€/anno]</a:t>
              </a:r>
            </a:p>
          </xdr:txBody>
        </xdr:sp>
      </mc:Choice>
      <mc:Fallback xmlns="">
        <xdr:sp macro="" textlink="">
          <xdr:nvSpPr>
            <xdr:cNvPr id="26" name="CasellaDiTesto 25">
              <a:extLst>
                <a:ext uri="{FF2B5EF4-FFF2-40B4-BE49-F238E27FC236}">
                  <a16:creationId xmlns:a16="http://schemas.microsoft.com/office/drawing/2014/main" id="{493E147F-B58D-40C0-8D16-D193A363130E}"/>
                </a:ext>
              </a:extLst>
            </xdr:cNvPr>
            <xdr:cNvSpPr txBox="1"/>
          </xdr:nvSpPr>
          <xdr:spPr>
            <a:xfrm>
              <a:off x="0" y="5676900"/>
              <a:ext cx="2598420" cy="28194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it-IT" sz="1100" b="1">
                  <a:solidFill>
                    <a:srgbClr val="FF0000"/>
                  </a:solidFill>
                </a:rPr>
                <a:t>Costo di gestione  </a:t>
              </a:r>
              <a:r>
                <a:rPr lang="it-IT" sz="1100" b="1" i="0">
                  <a:solidFill>
                    <a:srgbClr val="FF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𝒇_𝒊</a:t>
              </a:r>
              <a:r>
                <a:rPr lang="it-IT" sz="1100" b="1">
                  <a:solidFill>
                    <a:srgbClr val="FF0000"/>
                  </a:solidFill>
                  <a:effectLst/>
                  <a:latin typeface="+mn-lt"/>
                  <a:ea typeface="+mn-ea"/>
                  <a:cs typeface="+mn-cs"/>
                </a:rPr>
                <a:t>   </a:t>
              </a:r>
              <a:r>
                <a:rPr lang="it-IT" sz="1100" b="1">
                  <a:solidFill>
                    <a:srgbClr val="FF0000"/>
                  </a:solidFill>
                </a:rPr>
                <a:t> [€/anno]</a:t>
              </a:r>
            </a:p>
          </xdr:txBody>
        </xdr:sp>
      </mc:Fallback>
    </mc:AlternateContent>
    <xdr:clientData/>
  </xdr:twoCellAnchor>
  <xdr:twoCellAnchor>
    <xdr:from>
      <xdr:col>6</xdr:col>
      <xdr:colOff>0</xdr:colOff>
      <xdr:row>27</xdr:row>
      <xdr:rowOff>129540</xdr:rowOff>
    </xdr:from>
    <xdr:to>
      <xdr:col>6</xdr:col>
      <xdr:colOff>701040</xdr:colOff>
      <xdr:row>29</xdr:row>
      <xdr:rowOff>60960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CasellaDiTesto 26">
              <a:extLst>
                <a:ext uri="{FF2B5EF4-FFF2-40B4-BE49-F238E27FC236}">
                  <a16:creationId xmlns:a16="http://schemas.microsoft.com/office/drawing/2014/main" id="{F447C942-6252-489F-8CF2-966F8E2F7DF0}"/>
                </a:ext>
              </a:extLst>
            </xdr:cNvPr>
            <xdr:cNvSpPr txBox="1"/>
          </xdr:nvSpPr>
          <xdr:spPr>
            <a:xfrm>
              <a:off x="4991100" y="5440680"/>
              <a:ext cx="701040" cy="29718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it-IT" sz="11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1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𝒚</m:t>
                        </m:r>
                      </m:e>
                      <m:sub>
                        <m:r>
                          <a:rPr lang="it-IT" sz="11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𝒊</m:t>
                        </m:r>
                      </m:sub>
                    </m:sSub>
                  </m:oMath>
                </m:oMathPara>
              </a14:m>
              <a:endParaRPr lang="it-IT" sz="1100" b="1" i="1"/>
            </a:p>
          </xdr:txBody>
        </xdr:sp>
      </mc:Choice>
      <mc:Fallback xmlns="">
        <xdr:sp macro="" textlink="">
          <xdr:nvSpPr>
            <xdr:cNvPr id="27" name="CasellaDiTesto 26">
              <a:extLst>
                <a:ext uri="{FF2B5EF4-FFF2-40B4-BE49-F238E27FC236}">
                  <a16:creationId xmlns:a16="http://schemas.microsoft.com/office/drawing/2014/main" id="{F447C942-6252-489F-8CF2-966F8E2F7DF0}"/>
                </a:ext>
              </a:extLst>
            </xdr:cNvPr>
            <xdr:cNvSpPr txBox="1"/>
          </xdr:nvSpPr>
          <xdr:spPr>
            <a:xfrm>
              <a:off x="4991100" y="5440680"/>
              <a:ext cx="701040" cy="29718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it-IT" sz="1100" b="1" i="0">
                  <a:solidFill>
                    <a:srgbClr val="FF0000"/>
                  </a:solidFill>
                  <a:latin typeface="Cambria Math" panose="02040503050406030204" pitchFamily="18" charset="0"/>
                </a:rPr>
                <a:t>𝒚_𝒊</a:t>
              </a:r>
              <a:endParaRPr lang="it-IT" sz="1100" b="1" i="1"/>
            </a:p>
          </xdr:txBody>
        </xdr:sp>
      </mc:Fallback>
    </mc:AlternateContent>
    <xdr:clientData/>
  </xdr:twoCellAnchor>
  <xdr:twoCellAnchor>
    <xdr:from>
      <xdr:col>4</xdr:col>
      <xdr:colOff>38100</xdr:colOff>
      <xdr:row>7</xdr:row>
      <xdr:rowOff>22860</xdr:rowOff>
    </xdr:from>
    <xdr:to>
      <xdr:col>8</xdr:col>
      <xdr:colOff>22860</xdr:colOff>
      <xdr:row>9</xdr:row>
      <xdr:rowOff>182880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CasellaDiTesto 32">
              <a:extLst>
                <a:ext uri="{FF2B5EF4-FFF2-40B4-BE49-F238E27FC236}">
                  <a16:creationId xmlns:a16="http://schemas.microsoft.com/office/drawing/2014/main" id="{7B6DD150-B3E2-4E82-9BCA-613F2A216A60}"/>
                </a:ext>
              </a:extLst>
            </xdr:cNvPr>
            <xdr:cNvSpPr txBox="1"/>
          </xdr:nvSpPr>
          <xdr:spPr>
            <a:xfrm>
              <a:off x="3459480" y="1325880"/>
              <a:ext cx="3032760" cy="83058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it-IT" sz="1100" b="1" i="1">
                  <a:solidFill>
                    <a:srgbClr val="FF0000"/>
                  </a:solidFill>
                </a:rPr>
                <a:t>Condizione di ammissibilità del problema:</a:t>
              </a: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pHide m:val="on"/>
                        <m:ctrlPr>
                          <a:rPr lang="it-IT" sz="110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7"/>
                          </m:rPr>
                          <a:rPr lang="it-IT" sz="1100" b="0" i="1">
                            <a:latin typeface="Cambria Math" panose="02040503050406030204" pitchFamily="18" charset="0"/>
                          </a:rPr>
                          <m:t>𝑝</m:t>
                        </m:r>
                        <m:r>
                          <a:rPr lang="it-IT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∈</m:t>
                        </m:r>
                        <m:r>
                          <a:rPr lang="it-IT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sub>
                      <m:sup/>
                      <m:e>
                        <m:nary>
                          <m:naryPr>
                            <m:chr m:val="∑"/>
                            <m:supHide m:val="on"/>
                            <m:ctrlPr>
                              <a:rPr lang="it-IT" sz="110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>
                            <m:r>
                              <m:rPr>
                                <m:brk m:alnAt="7"/>
                              </m:rPr>
                              <a:rPr lang="it-IT" sz="1100" b="0" i="1">
                                <a:latin typeface="Cambria Math" panose="02040503050406030204" pitchFamily="18" charset="0"/>
                              </a:rPr>
                              <m:t>𝑗</m:t>
                            </m:r>
                            <m:r>
                              <a:rPr lang="it-IT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∈</m:t>
                            </m:r>
                            <m:sSub>
                              <m:sSubPr>
                                <m:ctrlPr>
                                  <a:rPr lang="it-IT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it-IT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𝑉</m:t>
                                </m:r>
                              </m:e>
                              <m:sub>
                                <m:r>
                                  <a:rPr lang="it-IT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2</m:t>
                                </m:r>
                              </m:sub>
                            </m:sSub>
                          </m:sub>
                          <m:sup/>
                          <m:e>
                            <m:sSub>
                              <m:sSubPr>
                                <m:ctrlPr>
                                  <a:rPr lang="it-IT" sz="110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it-IT" sz="1100" b="0" i="1">
                                    <a:latin typeface="Cambria Math" panose="02040503050406030204" pitchFamily="18" charset="0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it-IT" sz="1100" b="0" i="1">
                                    <a:latin typeface="Cambria Math" panose="02040503050406030204" pitchFamily="18" charset="0"/>
                                  </a:rPr>
                                  <m:t>𝑝𝑗</m:t>
                                </m:r>
                              </m:sub>
                            </m:sSub>
                            <m:r>
                              <a:rPr lang="it-IT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≤</m:t>
                            </m:r>
                            <m:nary>
                              <m:naryPr>
                                <m:chr m:val="∑"/>
                                <m:supHide m:val="on"/>
                                <m:ctrlPr>
                                  <a:rPr lang="it-IT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naryPr>
                              <m:sub>
                                <m:r>
                                  <m:rPr>
                                    <m:brk m:alnAt="7"/>
                                  </m:rPr>
                                  <a:rPr lang="it-IT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𝑖</m:t>
                                </m:r>
                                <m:r>
                                  <a:rPr lang="it-IT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∈</m:t>
                                </m:r>
                                <m:sSub>
                                  <m:sSubPr>
                                    <m:ctrlPr>
                                      <a:rPr lang="it-IT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it-IT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𝑉</m:t>
                                    </m:r>
                                  </m:e>
                                  <m:sub>
                                    <m:r>
                                      <a:rPr lang="it-IT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1</m:t>
                                    </m:r>
                                  </m:sub>
                                </m:sSub>
                              </m:sub>
                              <m:sup/>
                              <m:e>
                                <m:sSub>
                                  <m:sSubPr>
                                    <m:ctrlPr>
                                      <a:rPr lang="it-IT" sz="11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it-IT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𝑞</m:t>
                                    </m:r>
                                  </m:e>
                                  <m:sub>
                                    <m:r>
                                      <a:rPr lang="it-IT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𝑖</m:t>
                                    </m:r>
                                  </m:sub>
                                </m:sSub>
                              </m:e>
                            </m:nary>
                          </m:e>
                        </m:nary>
                      </m:e>
                    </m:nary>
                  </m:oMath>
                </m:oMathPara>
              </a14:m>
              <a:endParaRPr lang="it-IT" sz="1100"/>
            </a:p>
          </xdr:txBody>
        </xdr:sp>
      </mc:Choice>
      <mc:Fallback xmlns="">
        <xdr:sp macro="" textlink="">
          <xdr:nvSpPr>
            <xdr:cNvPr id="33" name="CasellaDiTesto 32">
              <a:extLst>
                <a:ext uri="{FF2B5EF4-FFF2-40B4-BE49-F238E27FC236}">
                  <a16:creationId xmlns:a16="http://schemas.microsoft.com/office/drawing/2014/main" id="{7B6DD150-B3E2-4E82-9BCA-613F2A216A60}"/>
                </a:ext>
              </a:extLst>
            </xdr:cNvPr>
            <xdr:cNvSpPr txBox="1"/>
          </xdr:nvSpPr>
          <xdr:spPr>
            <a:xfrm>
              <a:off x="3459480" y="1325880"/>
              <a:ext cx="3032760" cy="83058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it-IT" sz="1100" b="1" i="1">
                  <a:solidFill>
                    <a:srgbClr val="FF0000"/>
                  </a:solidFill>
                </a:rPr>
                <a:t>Condizione di ammissibilità del problema:</a:t>
              </a:r>
            </a:p>
            <a:p>
              <a:r>
                <a:rPr lang="it-IT" sz="1100" i="0">
                  <a:latin typeface="Cambria Math" panose="02040503050406030204" pitchFamily="18" charset="0"/>
                </a:rPr>
                <a:t>∑8_(</a:t>
              </a:r>
              <a:r>
                <a:rPr lang="it-IT" sz="1100" b="0" i="0">
                  <a:latin typeface="Cambria Math" panose="02040503050406030204" pitchFamily="18" charset="0"/>
                </a:rPr>
                <a:t>𝑝</a:t>
              </a:r>
              <a:r>
                <a:rPr lang="it-IT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∈𝑃)▒∑8_(</a:t>
              </a:r>
              <a:r>
                <a:rPr lang="it-IT" sz="1100" b="0" i="0">
                  <a:latin typeface="Cambria Math" panose="02040503050406030204" pitchFamily="18" charset="0"/>
                </a:rPr>
                <a:t>𝑗</a:t>
              </a:r>
              <a:r>
                <a:rPr lang="it-IT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∈𝑉_2)▒〖</a:t>
              </a:r>
              <a:r>
                <a:rPr lang="it-IT" sz="1100" b="0" i="0">
                  <a:latin typeface="Cambria Math" panose="02040503050406030204" pitchFamily="18" charset="0"/>
                </a:rPr>
                <a:t>𝑑_𝑝𝑗</a:t>
              </a:r>
              <a:r>
                <a:rPr lang="it-IT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≤∑8_(</a:t>
              </a:r>
              <a:r>
                <a:rPr lang="it-IT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𝑖∈𝑉_1)▒𝑞_𝑖 〗</a:t>
              </a:r>
              <a:endParaRPr lang="it-IT" sz="1100"/>
            </a:p>
          </xdr:txBody>
        </xdr:sp>
      </mc:Fallback>
    </mc:AlternateContent>
    <xdr:clientData/>
  </xdr:twoCellAnchor>
  <xdr:twoCellAnchor>
    <xdr:from>
      <xdr:col>8</xdr:col>
      <xdr:colOff>53340</xdr:colOff>
      <xdr:row>7</xdr:row>
      <xdr:rowOff>99060</xdr:rowOff>
    </xdr:from>
    <xdr:to>
      <xdr:col>9</xdr:col>
      <xdr:colOff>91440</xdr:colOff>
      <xdr:row>8</xdr:row>
      <xdr:rowOff>0</xdr:rowOff>
    </xdr:to>
    <xdr:cxnSp macro="">
      <xdr:nvCxnSpPr>
        <xdr:cNvPr id="34" name="Connettore 2 33">
          <a:extLst>
            <a:ext uri="{FF2B5EF4-FFF2-40B4-BE49-F238E27FC236}">
              <a16:creationId xmlns:a16="http://schemas.microsoft.com/office/drawing/2014/main" id="{F296C56D-A01D-44AD-807D-BF563813BFA8}"/>
            </a:ext>
          </a:extLst>
        </xdr:cNvPr>
        <xdr:cNvCxnSpPr/>
      </xdr:nvCxnSpPr>
      <xdr:spPr>
        <a:xfrm>
          <a:off x="6522720" y="1402080"/>
          <a:ext cx="807720" cy="83820"/>
        </a:xfrm>
        <a:prstGeom prst="straightConnector1">
          <a:avLst/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1028700</xdr:colOff>
      <xdr:row>81</xdr:row>
      <xdr:rowOff>167640</xdr:rowOff>
    </xdr:from>
    <xdr:to>
      <xdr:col>4</xdr:col>
      <xdr:colOff>129540</xdr:colOff>
      <xdr:row>84</xdr:row>
      <xdr:rowOff>60960</xdr:rowOff>
    </xdr:to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BE0720DF-CB85-4792-AB57-F5A66E166CDD}"/>
            </a:ext>
          </a:extLst>
        </xdr:cNvPr>
        <xdr:cNvSpPr txBox="1"/>
      </xdr:nvSpPr>
      <xdr:spPr>
        <a:xfrm>
          <a:off x="1028700" y="15491460"/>
          <a:ext cx="2522220" cy="4419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2400" b="1" i="1">
              <a:solidFill>
                <a:srgbClr val="FF0000"/>
              </a:solidFill>
            </a:rPr>
            <a:t>Soluzione Ottima:</a:t>
          </a:r>
        </a:p>
      </xdr:txBody>
    </xdr:sp>
    <xdr:clientData/>
  </xdr:twoCellAnchor>
  <xdr:twoCellAnchor>
    <xdr:from>
      <xdr:col>5</xdr:col>
      <xdr:colOff>381000</xdr:colOff>
      <xdr:row>82</xdr:row>
      <xdr:rowOff>129540</xdr:rowOff>
    </xdr:from>
    <xdr:to>
      <xdr:col>6</xdr:col>
      <xdr:colOff>208140</xdr:colOff>
      <xdr:row>86</xdr:row>
      <xdr:rowOff>10020</xdr:rowOff>
    </xdr:to>
    <xdr:sp macro="" textlink="">
      <xdr:nvSpPr>
        <xdr:cNvPr id="9" name="Connettore 8">
          <a:extLst>
            <a:ext uri="{FF2B5EF4-FFF2-40B4-BE49-F238E27FC236}">
              <a16:creationId xmlns:a16="http://schemas.microsoft.com/office/drawing/2014/main" id="{FFAA3BD2-08E9-4483-A462-998BD32E63AB}"/>
            </a:ext>
          </a:extLst>
        </xdr:cNvPr>
        <xdr:cNvSpPr/>
      </xdr:nvSpPr>
      <xdr:spPr>
        <a:xfrm>
          <a:off x="4587240" y="15636240"/>
          <a:ext cx="612000" cy="612000"/>
        </a:xfrm>
        <a:prstGeom prst="flowChartConnector">
          <a:avLst/>
        </a:prstGeom>
        <a:ln w="28575"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it-IT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</a:t>
          </a:r>
        </a:p>
      </xdr:txBody>
    </xdr:sp>
    <xdr:clientData/>
  </xdr:twoCellAnchor>
  <xdr:twoCellAnchor>
    <xdr:from>
      <xdr:col>8</xdr:col>
      <xdr:colOff>45720</xdr:colOff>
      <xdr:row>82</xdr:row>
      <xdr:rowOff>129540</xdr:rowOff>
    </xdr:from>
    <xdr:to>
      <xdr:col>8</xdr:col>
      <xdr:colOff>657720</xdr:colOff>
      <xdr:row>86</xdr:row>
      <xdr:rowOff>10020</xdr:rowOff>
    </xdr:to>
    <xdr:sp macro="" textlink="">
      <xdr:nvSpPr>
        <xdr:cNvPr id="29" name="Connettore 28">
          <a:extLst>
            <a:ext uri="{FF2B5EF4-FFF2-40B4-BE49-F238E27FC236}">
              <a16:creationId xmlns:a16="http://schemas.microsoft.com/office/drawing/2014/main" id="{F6F937D7-1B97-4150-9F9C-C2BE4F972836}"/>
            </a:ext>
          </a:extLst>
        </xdr:cNvPr>
        <xdr:cNvSpPr/>
      </xdr:nvSpPr>
      <xdr:spPr>
        <a:xfrm>
          <a:off x="6515100" y="15636240"/>
          <a:ext cx="612000" cy="612000"/>
        </a:xfrm>
        <a:prstGeom prst="flowChartConnector">
          <a:avLst/>
        </a:prstGeom>
        <a:ln w="28575"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it-IT" sz="2000" b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j</a:t>
          </a:r>
          <a:endParaRPr lang="it-IT">
            <a:effectLst/>
          </a:endParaRPr>
        </a:p>
      </xdr:txBody>
    </xdr:sp>
    <xdr:clientData/>
  </xdr:twoCellAnchor>
  <xdr:twoCellAnchor>
    <xdr:from>
      <xdr:col>6</xdr:col>
      <xdr:colOff>208140</xdr:colOff>
      <xdr:row>84</xdr:row>
      <xdr:rowOff>69780</xdr:rowOff>
    </xdr:from>
    <xdr:to>
      <xdr:col>8</xdr:col>
      <xdr:colOff>45720</xdr:colOff>
      <xdr:row>84</xdr:row>
      <xdr:rowOff>69780</xdr:rowOff>
    </xdr:to>
    <xdr:cxnSp macro="">
      <xdr:nvCxnSpPr>
        <xdr:cNvPr id="14" name="Connettore 2 13">
          <a:extLst>
            <a:ext uri="{FF2B5EF4-FFF2-40B4-BE49-F238E27FC236}">
              <a16:creationId xmlns:a16="http://schemas.microsoft.com/office/drawing/2014/main" id="{ADC90D97-C0EA-4C9D-A4B3-529435791FE4}"/>
            </a:ext>
          </a:extLst>
        </xdr:cNvPr>
        <xdr:cNvCxnSpPr>
          <a:stCxn id="9" idx="6"/>
          <a:endCxn id="29" idx="2"/>
        </xdr:cNvCxnSpPr>
      </xdr:nvCxnSpPr>
      <xdr:spPr>
        <a:xfrm>
          <a:off x="5199240" y="15942240"/>
          <a:ext cx="1315860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378460</xdr:colOff>
      <xdr:row>81</xdr:row>
      <xdr:rowOff>167640</xdr:rowOff>
    </xdr:from>
    <xdr:to>
      <xdr:col>7</xdr:col>
      <xdr:colOff>683260</xdr:colOff>
      <xdr:row>83</xdr:row>
      <xdr:rowOff>152400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1" name="CasellaDiTesto 30">
              <a:extLst>
                <a:ext uri="{FF2B5EF4-FFF2-40B4-BE49-F238E27FC236}">
                  <a16:creationId xmlns:a16="http://schemas.microsoft.com/office/drawing/2014/main" id="{E1145A00-0330-49DB-B270-AA8FEE68EAF6}"/>
                </a:ext>
              </a:extLst>
            </xdr:cNvPr>
            <xdr:cNvSpPr txBox="1"/>
          </xdr:nvSpPr>
          <xdr:spPr>
            <a:xfrm>
              <a:off x="5382260" y="15229840"/>
              <a:ext cx="1016000" cy="34036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it-IT" sz="16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6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  <m:sub>
                        <m:r>
                          <a:rPr lang="it-IT" sz="16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𝟏</m:t>
                        </m:r>
                        <m:r>
                          <a:rPr lang="it-IT" sz="16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𝒊𝒋</m:t>
                        </m:r>
                      </m:sub>
                    </m:sSub>
                    <m:r>
                      <a:rPr lang="it-IT" sz="16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it-IT" sz="16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6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𝒅</m:t>
                        </m:r>
                      </m:e>
                      <m:sub>
                        <m:r>
                          <a:rPr lang="it-IT" sz="16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  <m:r>
                          <a:rPr lang="it-IT" sz="16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𝒋</m:t>
                        </m:r>
                      </m:sub>
                    </m:sSub>
                  </m:oMath>
                </m:oMathPara>
              </a14:m>
              <a:endParaRPr lang="it-IT" sz="1100" b="1"/>
            </a:p>
          </xdr:txBody>
        </xdr:sp>
      </mc:Choice>
      <mc:Fallback xmlns="">
        <xdr:sp macro="" textlink="">
          <xdr:nvSpPr>
            <xdr:cNvPr id="31" name="CasellaDiTesto 30">
              <a:extLst>
                <a:ext uri="{FF2B5EF4-FFF2-40B4-BE49-F238E27FC236}">
                  <a16:creationId xmlns:a16="http://schemas.microsoft.com/office/drawing/2014/main" id="{E1145A00-0330-49DB-B270-AA8FEE68EAF6}"/>
                </a:ext>
              </a:extLst>
            </xdr:cNvPr>
            <xdr:cNvSpPr txBox="1"/>
          </xdr:nvSpPr>
          <xdr:spPr>
            <a:xfrm>
              <a:off x="5382260" y="15229840"/>
              <a:ext cx="1016000" cy="34036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it-IT" sz="1600" b="1" i="0">
                  <a:solidFill>
                    <a:srgbClr val="FF0000"/>
                  </a:solidFill>
                  <a:latin typeface="Cambria Math" panose="02040503050406030204" pitchFamily="18" charset="0"/>
                </a:rPr>
                <a:t>𝒙_𝟏𝒊𝒋</a:t>
              </a:r>
              <a:r>
                <a:rPr lang="it-IT" sz="1600" b="1" i="0">
                  <a:solidFill>
                    <a:srgbClr val="FF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∙𝒅_𝟏𝒋</a:t>
              </a:r>
              <a:endParaRPr lang="it-IT" sz="1100" b="1"/>
            </a:p>
          </xdr:txBody>
        </xdr:sp>
      </mc:Fallback>
    </mc:AlternateContent>
    <xdr:clientData/>
  </xdr:twoCellAnchor>
  <xdr:twoCellAnchor>
    <xdr:from>
      <xdr:col>12</xdr:col>
      <xdr:colOff>190500</xdr:colOff>
      <xdr:row>82</xdr:row>
      <xdr:rowOff>144780</xdr:rowOff>
    </xdr:from>
    <xdr:to>
      <xdr:col>12</xdr:col>
      <xdr:colOff>802500</xdr:colOff>
      <xdr:row>86</xdr:row>
      <xdr:rowOff>25260</xdr:rowOff>
    </xdr:to>
    <xdr:sp macro="" textlink="">
      <xdr:nvSpPr>
        <xdr:cNvPr id="36" name="Connettore 35">
          <a:extLst>
            <a:ext uri="{FF2B5EF4-FFF2-40B4-BE49-F238E27FC236}">
              <a16:creationId xmlns:a16="http://schemas.microsoft.com/office/drawing/2014/main" id="{FDBDCC72-4B66-4C28-90D9-2CBB5E06E1F7}"/>
            </a:ext>
          </a:extLst>
        </xdr:cNvPr>
        <xdr:cNvSpPr/>
      </xdr:nvSpPr>
      <xdr:spPr>
        <a:xfrm>
          <a:off x="10005060" y="15651480"/>
          <a:ext cx="612000" cy="612000"/>
        </a:xfrm>
        <a:prstGeom prst="flowChartConnector">
          <a:avLst/>
        </a:prstGeom>
        <a:ln w="28575"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it-IT" sz="2000" b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j</a:t>
          </a:r>
          <a:endParaRPr lang="it-IT">
            <a:effectLst/>
          </a:endParaRPr>
        </a:p>
      </xdr:txBody>
    </xdr:sp>
    <xdr:clientData/>
  </xdr:twoCellAnchor>
  <xdr:twoCellAnchor>
    <xdr:from>
      <xdr:col>10</xdr:col>
      <xdr:colOff>320040</xdr:colOff>
      <xdr:row>84</xdr:row>
      <xdr:rowOff>85020</xdr:rowOff>
    </xdr:from>
    <xdr:to>
      <xdr:col>12</xdr:col>
      <xdr:colOff>190500</xdr:colOff>
      <xdr:row>84</xdr:row>
      <xdr:rowOff>85020</xdr:rowOff>
    </xdr:to>
    <xdr:cxnSp macro="">
      <xdr:nvCxnSpPr>
        <xdr:cNvPr id="37" name="Connettore 2 36">
          <a:extLst>
            <a:ext uri="{FF2B5EF4-FFF2-40B4-BE49-F238E27FC236}">
              <a16:creationId xmlns:a16="http://schemas.microsoft.com/office/drawing/2014/main" id="{79B25B27-260C-4CD3-B11A-056B5378227D}"/>
            </a:ext>
          </a:extLst>
        </xdr:cNvPr>
        <xdr:cNvCxnSpPr>
          <a:cxnSpLocks/>
          <a:stCxn id="45" idx="6"/>
          <a:endCxn id="36" idx="2"/>
        </xdr:cNvCxnSpPr>
      </xdr:nvCxnSpPr>
      <xdr:spPr>
        <a:xfrm>
          <a:off x="8298180" y="15957480"/>
          <a:ext cx="1706880" cy="0"/>
        </a:xfrm>
        <a:prstGeom prst="straightConnector1">
          <a:avLst/>
        </a:prstGeom>
        <a:ln w="19050">
          <a:solidFill>
            <a:srgbClr val="00206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449580</xdr:colOff>
      <xdr:row>82</xdr:row>
      <xdr:rowOff>53340</xdr:rowOff>
    </xdr:from>
    <xdr:to>
      <xdr:col>12</xdr:col>
      <xdr:colOff>76200</xdr:colOff>
      <xdr:row>84</xdr:row>
      <xdr:rowOff>38100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8" name="CasellaDiTesto 37">
              <a:extLst>
                <a:ext uri="{FF2B5EF4-FFF2-40B4-BE49-F238E27FC236}">
                  <a16:creationId xmlns:a16="http://schemas.microsoft.com/office/drawing/2014/main" id="{F5838FCA-134A-4C64-B660-8EB9005789E7}"/>
                </a:ext>
              </a:extLst>
            </xdr:cNvPr>
            <xdr:cNvSpPr txBox="1"/>
          </xdr:nvSpPr>
          <xdr:spPr>
            <a:xfrm>
              <a:off x="8427720" y="15560040"/>
              <a:ext cx="1463040" cy="35052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rgbClr val="00206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it-IT" sz="1600" b="1" i="1">
                            <a:solidFill>
                              <a:srgbClr val="00206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600" b="1" i="1">
                            <a:solidFill>
                              <a:srgbClr val="002060"/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  <m:sub>
                        <m:r>
                          <a:rPr lang="it-IT" sz="1600" b="1" i="1">
                            <a:solidFill>
                              <a:srgbClr val="002060"/>
                            </a:solidFill>
                            <a:latin typeface="Cambria Math" panose="02040503050406030204" pitchFamily="18" charset="0"/>
                          </a:rPr>
                          <m:t>𝟐</m:t>
                        </m:r>
                        <m:r>
                          <a:rPr lang="it-IT" sz="1600" b="1" i="1">
                            <a:solidFill>
                              <a:srgbClr val="002060"/>
                            </a:solidFill>
                            <a:latin typeface="Cambria Math" panose="02040503050406030204" pitchFamily="18" charset="0"/>
                          </a:rPr>
                          <m:t>𝒊𝒋</m:t>
                        </m:r>
                      </m:sub>
                    </m:sSub>
                    <m:r>
                      <a:rPr lang="it-IT" sz="1600" b="1" i="1">
                        <a:solidFill>
                          <a:srgbClr val="00206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it-IT" sz="1600" b="1" i="1">
                            <a:solidFill>
                              <a:srgbClr val="00206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600" b="1" i="1">
                            <a:solidFill>
                              <a:srgbClr val="00206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𝒅</m:t>
                        </m:r>
                      </m:e>
                      <m:sub>
                        <m:r>
                          <a:rPr lang="it-IT" sz="1600" b="1" i="1">
                            <a:solidFill>
                              <a:srgbClr val="00206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</m:t>
                        </m:r>
                        <m:r>
                          <a:rPr lang="it-IT" sz="1600" b="1" i="1">
                            <a:solidFill>
                              <a:srgbClr val="00206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𝒋</m:t>
                        </m:r>
                      </m:sub>
                    </m:sSub>
                  </m:oMath>
                </m:oMathPara>
              </a14:m>
              <a:endParaRPr lang="it-IT" sz="1100" b="1"/>
            </a:p>
          </xdr:txBody>
        </xdr:sp>
      </mc:Choice>
      <mc:Fallback xmlns="">
        <xdr:sp macro="" textlink="">
          <xdr:nvSpPr>
            <xdr:cNvPr id="38" name="CasellaDiTesto 37">
              <a:extLst>
                <a:ext uri="{FF2B5EF4-FFF2-40B4-BE49-F238E27FC236}">
                  <a16:creationId xmlns:a16="http://schemas.microsoft.com/office/drawing/2014/main" id="{F5838FCA-134A-4C64-B660-8EB9005789E7}"/>
                </a:ext>
              </a:extLst>
            </xdr:cNvPr>
            <xdr:cNvSpPr txBox="1"/>
          </xdr:nvSpPr>
          <xdr:spPr>
            <a:xfrm>
              <a:off x="8427720" y="15560040"/>
              <a:ext cx="1463040" cy="35052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rgbClr val="00206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it-IT" sz="1600" b="1" i="0">
                  <a:solidFill>
                    <a:srgbClr val="002060"/>
                  </a:solidFill>
                  <a:latin typeface="Cambria Math" panose="02040503050406030204" pitchFamily="18" charset="0"/>
                </a:rPr>
                <a:t>𝒙_𝟐𝒊𝒋</a:t>
              </a:r>
              <a:r>
                <a:rPr lang="it-IT" sz="1600" b="1" i="0">
                  <a:solidFill>
                    <a:srgbClr val="00206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∙𝒅_𝟐𝒋</a:t>
              </a:r>
              <a:endParaRPr lang="it-IT" sz="1100" b="1"/>
            </a:p>
          </xdr:txBody>
        </xdr:sp>
      </mc:Fallback>
    </mc:AlternateContent>
    <xdr:clientData/>
  </xdr:twoCellAnchor>
  <xdr:twoCellAnchor>
    <xdr:from>
      <xdr:col>6</xdr:col>
      <xdr:colOff>238125</xdr:colOff>
      <xdr:row>94</xdr:row>
      <xdr:rowOff>9525</xdr:rowOff>
    </xdr:from>
    <xdr:to>
      <xdr:col>7</xdr:col>
      <xdr:colOff>145275</xdr:colOff>
      <xdr:row>97</xdr:row>
      <xdr:rowOff>72885</xdr:rowOff>
    </xdr:to>
    <xdr:sp macro="" textlink="">
      <xdr:nvSpPr>
        <xdr:cNvPr id="39" name="Connettore 38">
          <a:extLst>
            <a:ext uri="{FF2B5EF4-FFF2-40B4-BE49-F238E27FC236}">
              <a16:creationId xmlns:a16="http://schemas.microsoft.com/office/drawing/2014/main" id="{9D4401AA-4417-4E07-9AC0-CA181274FF8B}"/>
            </a:ext>
          </a:extLst>
        </xdr:cNvPr>
        <xdr:cNvSpPr/>
      </xdr:nvSpPr>
      <xdr:spPr>
        <a:xfrm>
          <a:off x="5210175" y="17592675"/>
          <a:ext cx="612000" cy="606285"/>
        </a:xfrm>
        <a:prstGeom prst="flowChartConnector">
          <a:avLst/>
        </a:prstGeom>
        <a:ln w="28575"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it-IT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</a:t>
          </a:r>
        </a:p>
      </xdr:txBody>
    </xdr:sp>
    <xdr:clientData/>
  </xdr:twoCellAnchor>
  <xdr:twoCellAnchor>
    <xdr:from>
      <xdr:col>6</xdr:col>
      <xdr:colOff>400050</xdr:colOff>
      <xdr:row>113</xdr:row>
      <xdr:rowOff>66675</xdr:rowOff>
    </xdr:from>
    <xdr:to>
      <xdr:col>7</xdr:col>
      <xdr:colOff>307200</xdr:colOff>
      <xdr:row>116</xdr:row>
      <xdr:rowOff>130035</xdr:rowOff>
    </xdr:to>
    <xdr:sp macro="" textlink="">
      <xdr:nvSpPr>
        <xdr:cNvPr id="40" name="Connettore 39">
          <a:extLst>
            <a:ext uri="{FF2B5EF4-FFF2-40B4-BE49-F238E27FC236}">
              <a16:creationId xmlns:a16="http://schemas.microsoft.com/office/drawing/2014/main" id="{9F3A404F-5B32-405A-969A-F4B7AAFD88FE}"/>
            </a:ext>
          </a:extLst>
        </xdr:cNvPr>
        <xdr:cNvSpPr/>
      </xdr:nvSpPr>
      <xdr:spPr>
        <a:xfrm>
          <a:off x="5372100" y="21088350"/>
          <a:ext cx="612000" cy="606285"/>
        </a:xfrm>
        <a:prstGeom prst="flowChartConnector">
          <a:avLst/>
        </a:prstGeom>
        <a:ln w="28575"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it-IT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</a:t>
          </a:r>
        </a:p>
      </xdr:txBody>
    </xdr:sp>
    <xdr:clientData/>
  </xdr:twoCellAnchor>
  <xdr:twoCellAnchor>
    <xdr:from>
      <xdr:col>12</xdr:col>
      <xdr:colOff>1447800</xdr:colOff>
      <xdr:row>93</xdr:row>
      <xdr:rowOff>70485</xdr:rowOff>
    </xdr:from>
    <xdr:to>
      <xdr:col>12</xdr:col>
      <xdr:colOff>2023605</xdr:colOff>
      <xdr:row>96</xdr:row>
      <xdr:rowOff>152400</xdr:rowOff>
    </xdr:to>
    <xdr:sp macro="" textlink="">
      <xdr:nvSpPr>
        <xdr:cNvPr id="44" name="Connettore 43">
          <a:extLst>
            <a:ext uri="{FF2B5EF4-FFF2-40B4-BE49-F238E27FC236}">
              <a16:creationId xmlns:a16="http://schemas.microsoft.com/office/drawing/2014/main" id="{FEA51912-C3A3-4B26-A76C-AEC8A176C21C}"/>
            </a:ext>
          </a:extLst>
        </xdr:cNvPr>
        <xdr:cNvSpPr/>
      </xdr:nvSpPr>
      <xdr:spPr>
        <a:xfrm>
          <a:off x="11249025" y="17472660"/>
          <a:ext cx="575805" cy="624840"/>
        </a:xfrm>
        <a:prstGeom prst="flowChartConnector">
          <a:avLst/>
        </a:prstGeom>
        <a:ln w="28575"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it-IT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</a:t>
          </a:r>
        </a:p>
      </xdr:txBody>
    </xdr:sp>
    <xdr:clientData/>
  </xdr:twoCellAnchor>
  <xdr:twoCellAnchor>
    <xdr:from>
      <xdr:col>9</xdr:col>
      <xdr:colOff>441960</xdr:colOff>
      <xdr:row>82</xdr:row>
      <xdr:rowOff>144780</xdr:rowOff>
    </xdr:from>
    <xdr:to>
      <xdr:col>10</xdr:col>
      <xdr:colOff>320040</xdr:colOff>
      <xdr:row>86</xdr:row>
      <xdr:rowOff>25260</xdr:rowOff>
    </xdr:to>
    <xdr:sp macro="" textlink="">
      <xdr:nvSpPr>
        <xdr:cNvPr id="45" name="Connettore 44">
          <a:extLst>
            <a:ext uri="{FF2B5EF4-FFF2-40B4-BE49-F238E27FC236}">
              <a16:creationId xmlns:a16="http://schemas.microsoft.com/office/drawing/2014/main" id="{CCD3449E-A811-4FC2-B2F5-4663133D312A}"/>
            </a:ext>
          </a:extLst>
        </xdr:cNvPr>
        <xdr:cNvSpPr/>
      </xdr:nvSpPr>
      <xdr:spPr>
        <a:xfrm>
          <a:off x="7680960" y="15651480"/>
          <a:ext cx="617220" cy="612000"/>
        </a:xfrm>
        <a:prstGeom prst="flowChartConnector">
          <a:avLst/>
        </a:prstGeom>
        <a:ln w="28575"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it-IT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</a:t>
          </a:r>
        </a:p>
      </xdr:txBody>
    </xdr:sp>
    <xdr:clientData/>
  </xdr:twoCellAnchor>
  <xdr:twoCellAnchor>
    <xdr:from>
      <xdr:col>1</xdr:col>
      <xdr:colOff>0</xdr:colOff>
      <xdr:row>89</xdr:row>
      <xdr:rowOff>0</xdr:rowOff>
    </xdr:from>
    <xdr:to>
      <xdr:col>1</xdr:col>
      <xdr:colOff>612000</xdr:colOff>
      <xdr:row>92</xdr:row>
      <xdr:rowOff>63360</xdr:rowOff>
    </xdr:to>
    <xdr:sp macro="" textlink="">
      <xdr:nvSpPr>
        <xdr:cNvPr id="50" name="Connettore 49">
          <a:extLst>
            <a:ext uri="{FF2B5EF4-FFF2-40B4-BE49-F238E27FC236}">
              <a16:creationId xmlns:a16="http://schemas.microsoft.com/office/drawing/2014/main" id="{7816DEEF-D6E7-400A-B06E-B8F5AA83D069}"/>
            </a:ext>
          </a:extLst>
        </xdr:cNvPr>
        <xdr:cNvSpPr/>
      </xdr:nvSpPr>
      <xdr:spPr>
        <a:xfrm>
          <a:off x="1066800" y="16786860"/>
          <a:ext cx="612000" cy="612000"/>
        </a:xfrm>
        <a:prstGeom prst="flowChartConnector">
          <a:avLst/>
        </a:prstGeom>
        <a:ln w="28575"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it-IT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</a:t>
          </a:r>
        </a:p>
      </xdr:txBody>
    </xdr:sp>
    <xdr:clientData/>
  </xdr:twoCellAnchor>
  <xdr:twoCellAnchor>
    <xdr:from>
      <xdr:col>0</xdr:col>
      <xdr:colOff>781050</xdr:colOff>
      <xdr:row>107</xdr:row>
      <xdr:rowOff>142875</xdr:rowOff>
    </xdr:from>
    <xdr:to>
      <xdr:col>1</xdr:col>
      <xdr:colOff>326250</xdr:colOff>
      <xdr:row>111</xdr:row>
      <xdr:rowOff>25260</xdr:rowOff>
    </xdr:to>
    <xdr:sp macro="" textlink="">
      <xdr:nvSpPr>
        <xdr:cNvPr id="51" name="Connettore 50">
          <a:extLst>
            <a:ext uri="{FF2B5EF4-FFF2-40B4-BE49-F238E27FC236}">
              <a16:creationId xmlns:a16="http://schemas.microsoft.com/office/drawing/2014/main" id="{0FA8E17E-2EAC-4AA6-AF88-CC9585C68F1E}"/>
            </a:ext>
          </a:extLst>
        </xdr:cNvPr>
        <xdr:cNvSpPr/>
      </xdr:nvSpPr>
      <xdr:spPr>
        <a:xfrm>
          <a:off x="781050" y="20078700"/>
          <a:ext cx="612000" cy="606285"/>
        </a:xfrm>
        <a:prstGeom prst="flowChartConnector">
          <a:avLst/>
        </a:prstGeom>
        <a:ln w="28575"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it-IT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</a:t>
          </a:r>
        </a:p>
      </xdr:txBody>
    </xdr:sp>
    <xdr:clientData/>
  </xdr:twoCellAnchor>
  <xdr:twoCellAnchor>
    <xdr:from>
      <xdr:col>0</xdr:col>
      <xdr:colOff>942975</xdr:colOff>
      <xdr:row>113</xdr:row>
      <xdr:rowOff>104775</xdr:rowOff>
    </xdr:from>
    <xdr:to>
      <xdr:col>1</xdr:col>
      <xdr:colOff>488175</xdr:colOff>
      <xdr:row>116</xdr:row>
      <xdr:rowOff>168135</xdr:rowOff>
    </xdr:to>
    <xdr:sp macro="" textlink="">
      <xdr:nvSpPr>
        <xdr:cNvPr id="52" name="Connettore 51">
          <a:extLst>
            <a:ext uri="{FF2B5EF4-FFF2-40B4-BE49-F238E27FC236}">
              <a16:creationId xmlns:a16="http://schemas.microsoft.com/office/drawing/2014/main" id="{FBAB0CD9-B725-4105-A294-1DDB80F27233}"/>
            </a:ext>
          </a:extLst>
        </xdr:cNvPr>
        <xdr:cNvSpPr/>
      </xdr:nvSpPr>
      <xdr:spPr>
        <a:xfrm>
          <a:off x="942975" y="21126450"/>
          <a:ext cx="612000" cy="606285"/>
        </a:xfrm>
        <a:prstGeom prst="flowChartConnector">
          <a:avLst/>
        </a:prstGeom>
        <a:ln w="28575"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it-IT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</a:t>
          </a:r>
        </a:p>
      </xdr:txBody>
    </xdr:sp>
    <xdr:clientData/>
  </xdr:twoCellAnchor>
  <xdr:twoCellAnchor>
    <xdr:from>
      <xdr:col>0</xdr:col>
      <xdr:colOff>1057275</xdr:colOff>
      <xdr:row>118</xdr:row>
      <xdr:rowOff>152400</xdr:rowOff>
    </xdr:from>
    <xdr:to>
      <xdr:col>1</xdr:col>
      <xdr:colOff>602475</xdr:colOff>
      <xdr:row>122</xdr:row>
      <xdr:rowOff>34785</xdr:rowOff>
    </xdr:to>
    <xdr:sp macro="" textlink="">
      <xdr:nvSpPr>
        <xdr:cNvPr id="53" name="Connettore 52">
          <a:extLst>
            <a:ext uri="{FF2B5EF4-FFF2-40B4-BE49-F238E27FC236}">
              <a16:creationId xmlns:a16="http://schemas.microsoft.com/office/drawing/2014/main" id="{1558A0AE-AF18-45F6-8F9E-3403B8F68F62}"/>
            </a:ext>
          </a:extLst>
        </xdr:cNvPr>
        <xdr:cNvSpPr/>
      </xdr:nvSpPr>
      <xdr:spPr>
        <a:xfrm>
          <a:off x="1057275" y="22078950"/>
          <a:ext cx="612000" cy="606285"/>
        </a:xfrm>
        <a:prstGeom prst="flowChartConnector">
          <a:avLst/>
        </a:prstGeom>
        <a:ln w="28575"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it-IT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</a:t>
          </a:r>
        </a:p>
      </xdr:txBody>
    </xdr:sp>
    <xdr:clientData/>
  </xdr:twoCellAnchor>
  <xdr:twoCellAnchor>
    <xdr:from>
      <xdr:col>1</xdr:col>
      <xdr:colOff>360045</xdr:colOff>
      <xdr:row>102</xdr:row>
      <xdr:rowOff>100965</xdr:rowOff>
    </xdr:from>
    <xdr:to>
      <xdr:col>2</xdr:col>
      <xdr:colOff>190995</xdr:colOff>
      <xdr:row>105</xdr:row>
      <xdr:rowOff>162420</xdr:rowOff>
    </xdr:to>
    <xdr:sp macro="" textlink="">
      <xdr:nvSpPr>
        <xdr:cNvPr id="54" name="Connettore 53">
          <a:extLst>
            <a:ext uri="{FF2B5EF4-FFF2-40B4-BE49-F238E27FC236}">
              <a16:creationId xmlns:a16="http://schemas.microsoft.com/office/drawing/2014/main" id="{56FBF702-E163-4E5D-9182-64362D0C7296}"/>
            </a:ext>
          </a:extLst>
        </xdr:cNvPr>
        <xdr:cNvSpPr/>
      </xdr:nvSpPr>
      <xdr:spPr>
        <a:xfrm>
          <a:off x="1426845" y="19131915"/>
          <a:ext cx="612000" cy="604380"/>
        </a:xfrm>
        <a:prstGeom prst="flowChartConnector">
          <a:avLst/>
        </a:prstGeom>
        <a:ln w="28575"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it-IT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</a:t>
          </a:r>
        </a:p>
      </xdr:txBody>
    </xdr:sp>
    <xdr:clientData/>
  </xdr:twoCellAnchor>
  <xdr:twoCellAnchor>
    <xdr:from>
      <xdr:col>0</xdr:col>
      <xdr:colOff>1000125</xdr:colOff>
      <xdr:row>93</xdr:row>
      <xdr:rowOff>161925</xdr:rowOff>
    </xdr:from>
    <xdr:to>
      <xdr:col>1</xdr:col>
      <xdr:colOff>545325</xdr:colOff>
      <xdr:row>97</xdr:row>
      <xdr:rowOff>44310</xdr:rowOff>
    </xdr:to>
    <xdr:sp macro="" textlink="">
      <xdr:nvSpPr>
        <xdr:cNvPr id="55" name="Connettore 54">
          <a:extLst>
            <a:ext uri="{FF2B5EF4-FFF2-40B4-BE49-F238E27FC236}">
              <a16:creationId xmlns:a16="http://schemas.microsoft.com/office/drawing/2014/main" id="{85F36F80-115F-4005-B45D-289FFB26133A}"/>
            </a:ext>
          </a:extLst>
        </xdr:cNvPr>
        <xdr:cNvSpPr/>
      </xdr:nvSpPr>
      <xdr:spPr>
        <a:xfrm>
          <a:off x="1000125" y="17564100"/>
          <a:ext cx="612000" cy="606285"/>
        </a:xfrm>
        <a:prstGeom prst="flowChartConnector">
          <a:avLst/>
        </a:prstGeom>
        <a:ln w="28575"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it-IT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F</a:t>
          </a:r>
        </a:p>
      </xdr:txBody>
    </xdr:sp>
    <xdr:clientData/>
  </xdr:twoCellAnchor>
  <xdr:twoCellAnchor>
    <xdr:from>
      <xdr:col>0</xdr:col>
      <xdr:colOff>1028700</xdr:colOff>
      <xdr:row>98</xdr:row>
      <xdr:rowOff>95250</xdr:rowOff>
    </xdr:from>
    <xdr:to>
      <xdr:col>1</xdr:col>
      <xdr:colOff>573900</xdr:colOff>
      <xdr:row>101</xdr:row>
      <xdr:rowOff>158610</xdr:rowOff>
    </xdr:to>
    <xdr:sp macro="" textlink="">
      <xdr:nvSpPr>
        <xdr:cNvPr id="56" name="Connettore 55">
          <a:extLst>
            <a:ext uri="{FF2B5EF4-FFF2-40B4-BE49-F238E27FC236}">
              <a16:creationId xmlns:a16="http://schemas.microsoft.com/office/drawing/2014/main" id="{76D83E75-C761-4EBC-9E65-CF96B662F6FA}"/>
            </a:ext>
          </a:extLst>
        </xdr:cNvPr>
        <xdr:cNvSpPr/>
      </xdr:nvSpPr>
      <xdr:spPr>
        <a:xfrm>
          <a:off x="1028700" y="18402300"/>
          <a:ext cx="612000" cy="606285"/>
        </a:xfrm>
        <a:prstGeom prst="flowChartConnector">
          <a:avLst/>
        </a:prstGeom>
        <a:ln w="28575"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it-IT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G</a:t>
          </a:r>
        </a:p>
      </xdr:txBody>
    </xdr:sp>
    <xdr:clientData/>
  </xdr:twoCellAnchor>
  <xdr:twoCellAnchor>
    <xdr:from>
      <xdr:col>3</xdr:col>
      <xdr:colOff>190500</xdr:colOff>
      <xdr:row>105</xdr:row>
      <xdr:rowOff>95250</xdr:rowOff>
    </xdr:from>
    <xdr:to>
      <xdr:col>4</xdr:col>
      <xdr:colOff>21450</xdr:colOff>
      <xdr:row>108</xdr:row>
      <xdr:rowOff>158610</xdr:rowOff>
    </xdr:to>
    <xdr:sp macro="" textlink="">
      <xdr:nvSpPr>
        <xdr:cNvPr id="57" name="Connettore 56">
          <a:extLst>
            <a:ext uri="{FF2B5EF4-FFF2-40B4-BE49-F238E27FC236}">
              <a16:creationId xmlns:a16="http://schemas.microsoft.com/office/drawing/2014/main" id="{B6A03B74-9CA3-4CA4-B04C-72A1A7B3D2B6}"/>
            </a:ext>
          </a:extLst>
        </xdr:cNvPr>
        <xdr:cNvSpPr/>
      </xdr:nvSpPr>
      <xdr:spPr>
        <a:xfrm>
          <a:off x="2819400" y="19669125"/>
          <a:ext cx="612000" cy="606285"/>
        </a:xfrm>
        <a:prstGeom prst="flowChartConnector">
          <a:avLst/>
        </a:prstGeom>
        <a:ln w="28575"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it-IT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H</a:t>
          </a:r>
        </a:p>
      </xdr:txBody>
    </xdr:sp>
    <xdr:clientData/>
  </xdr:twoCellAnchor>
  <xdr:twoCellAnchor>
    <xdr:from>
      <xdr:col>12</xdr:col>
      <xdr:colOff>838200</xdr:colOff>
      <xdr:row>108</xdr:row>
      <xdr:rowOff>104775</xdr:rowOff>
    </xdr:from>
    <xdr:to>
      <xdr:col>12</xdr:col>
      <xdr:colOff>1450200</xdr:colOff>
      <xdr:row>111</xdr:row>
      <xdr:rowOff>168135</xdr:rowOff>
    </xdr:to>
    <xdr:sp macro="" textlink="">
      <xdr:nvSpPr>
        <xdr:cNvPr id="59" name="Connettore 58">
          <a:extLst>
            <a:ext uri="{FF2B5EF4-FFF2-40B4-BE49-F238E27FC236}">
              <a16:creationId xmlns:a16="http://schemas.microsoft.com/office/drawing/2014/main" id="{5B4BA833-33CA-47FD-B950-E63C319DF09B}"/>
            </a:ext>
          </a:extLst>
        </xdr:cNvPr>
        <xdr:cNvSpPr/>
      </xdr:nvSpPr>
      <xdr:spPr>
        <a:xfrm>
          <a:off x="10639425" y="20221575"/>
          <a:ext cx="612000" cy="606285"/>
        </a:xfrm>
        <a:prstGeom prst="flowChartConnector">
          <a:avLst/>
        </a:prstGeom>
        <a:ln w="28575"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it-IT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</a:t>
          </a:r>
        </a:p>
      </xdr:txBody>
    </xdr:sp>
    <xdr:clientData/>
  </xdr:twoCellAnchor>
  <xdr:twoCellAnchor>
    <xdr:from>
      <xdr:col>12</xdr:col>
      <xdr:colOff>876300</xdr:colOff>
      <xdr:row>114</xdr:row>
      <xdr:rowOff>76200</xdr:rowOff>
    </xdr:from>
    <xdr:to>
      <xdr:col>12</xdr:col>
      <xdr:colOff>1488300</xdr:colOff>
      <xdr:row>117</xdr:row>
      <xdr:rowOff>139560</xdr:rowOff>
    </xdr:to>
    <xdr:sp macro="" textlink="">
      <xdr:nvSpPr>
        <xdr:cNvPr id="60" name="Connettore 59">
          <a:extLst>
            <a:ext uri="{FF2B5EF4-FFF2-40B4-BE49-F238E27FC236}">
              <a16:creationId xmlns:a16="http://schemas.microsoft.com/office/drawing/2014/main" id="{1FAA16C6-5B7F-4CD1-A320-28F946796299}"/>
            </a:ext>
          </a:extLst>
        </xdr:cNvPr>
        <xdr:cNvSpPr/>
      </xdr:nvSpPr>
      <xdr:spPr>
        <a:xfrm>
          <a:off x="10677525" y="21278850"/>
          <a:ext cx="612000" cy="606285"/>
        </a:xfrm>
        <a:prstGeom prst="flowChartConnector">
          <a:avLst/>
        </a:prstGeom>
        <a:ln w="28575"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it-IT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</a:t>
          </a:r>
        </a:p>
      </xdr:txBody>
    </xdr:sp>
    <xdr:clientData/>
  </xdr:twoCellAnchor>
  <xdr:twoCellAnchor>
    <xdr:from>
      <xdr:col>12</xdr:col>
      <xdr:colOff>552450</xdr:colOff>
      <xdr:row>120</xdr:row>
      <xdr:rowOff>142875</xdr:rowOff>
    </xdr:from>
    <xdr:to>
      <xdr:col>12</xdr:col>
      <xdr:colOff>1164450</xdr:colOff>
      <xdr:row>124</xdr:row>
      <xdr:rowOff>25260</xdr:rowOff>
    </xdr:to>
    <xdr:sp macro="" textlink="">
      <xdr:nvSpPr>
        <xdr:cNvPr id="61" name="Connettore 60">
          <a:extLst>
            <a:ext uri="{FF2B5EF4-FFF2-40B4-BE49-F238E27FC236}">
              <a16:creationId xmlns:a16="http://schemas.microsoft.com/office/drawing/2014/main" id="{204CE3B1-64F1-4CE4-A675-D55FA60AB74F}"/>
            </a:ext>
          </a:extLst>
        </xdr:cNvPr>
        <xdr:cNvSpPr/>
      </xdr:nvSpPr>
      <xdr:spPr>
        <a:xfrm>
          <a:off x="10353675" y="22431375"/>
          <a:ext cx="612000" cy="606285"/>
        </a:xfrm>
        <a:prstGeom prst="flowChartConnector">
          <a:avLst/>
        </a:prstGeom>
        <a:ln w="28575"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it-IT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</a:t>
          </a:r>
        </a:p>
      </xdr:txBody>
    </xdr:sp>
    <xdr:clientData/>
  </xdr:twoCellAnchor>
  <xdr:twoCellAnchor>
    <xdr:from>
      <xdr:col>12</xdr:col>
      <xdr:colOff>200025</xdr:colOff>
      <xdr:row>127</xdr:row>
      <xdr:rowOff>0</xdr:rowOff>
    </xdr:from>
    <xdr:to>
      <xdr:col>12</xdr:col>
      <xdr:colOff>812025</xdr:colOff>
      <xdr:row>130</xdr:row>
      <xdr:rowOff>63360</xdr:rowOff>
    </xdr:to>
    <xdr:sp macro="" textlink="">
      <xdr:nvSpPr>
        <xdr:cNvPr id="65" name="Connettore 64">
          <a:extLst>
            <a:ext uri="{FF2B5EF4-FFF2-40B4-BE49-F238E27FC236}">
              <a16:creationId xmlns:a16="http://schemas.microsoft.com/office/drawing/2014/main" id="{6BDCD92C-C198-4FCE-A06D-BEB5A68056E9}"/>
            </a:ext>
          </a:extLst>
        </xdr:cNvPr>
        <xdr:cNvSpPr/>
      </xdr:nvSpPr>
      <xdr:spPr>
        <a:xfrm>
          <a:off x="10001250" y="23555325"/>
          <a:ext cx="612000" cy="606285"/>
        </a:xfrm>
        <a:prstGeom prst="flowChartConnector">
          <a:avLst/>
        </a:prstGeom>
        <a:ln w="28575"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it-IT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H</a:t>
          </a:r>
        </a:p>
      </xdr:txBody>
    </xdr:sp>
    <xdr:clientData/>
  </xdr:twoCellAnchor>
  <xdr:twoCellAnchor>
    <xdr:from>
      <xdr:col>1</xdr:col>
      <xdr:colOff>612000</xdr:colOff>
      <xdr:row>90</xdr:row>
      <xdr:rowOff>122168</xdr:rowOff>
    </xdr:from>
    <xdr:to>
      <xdr:col>6</xdr:col>
      <xdr:colOff>238125</xdr:colOff>
      <xdr:row>95</xdr:row>
      <xdr:rowOff>131693</xdr:rowOff>
    </xdr:to>
    <xdr:cxnSp macro="">
      <xdr:nvCxnSpPr>
        <xdr:cNvPr id="66" name="Connettore 2 65">
          <a:extLst>
            <a:ext uri="{FF2B5EF4-FFF2-40B4-BE49-F238E27FC236}">
              <a16:creationId xmlns:a16="http://schemas.microsoft.com/office/drawing/2014/main" id="{808F55FD-2CAE-42E2-A291-5C4FF5B5879C}"/>
            </a:ext>
          </a:extLst>
        </xdr:cNvPr>
        <xdr:cNvCxnSpPr>
          <a:stCxn id="39" idx="2"/>
          <a:endCxn id="50" idx="6"/>
        </xdr:cNvCxnSpPr>
      </xdr:nvCxnSpPr>
      <xdr:spPr>
        <a:xfrm flipH="1" flipV="1">
          <a:off x="1678800" y="16981418"/>
          <a:ext cx="3531375" cy="9144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545325</xdr:colOff>
      <xdr:row>95</xdr:row>
      <xdr:rowOff>103118</xdr:rowOff>
    </xdr:from>
    <xdr:to>
      <xdr:col>6</xdr:col>
      <xdr:colOff>238125</xdr:colOff>
      <xdr:row>95</xdr:row>
      <xdr:rowOff>131693</xdr:rowOff>
    </xdr:to>
    <xdr:cxnSp macro="">
      <xdr:nvCxnSpPr>
        <xdr:cNvPr id="69" name="Connettore 2 68">
          <a:extLst>
            <a:ext uri="{FF2B5EF4-FFF2-40B4-BE49-F238E27FC236}">
              <a16:creationId xmlns:a16="http://schemas.microsoft.com/office/drawing/2014/main" id="{46AFC593-6B34-490A-A20D-D66F2538F2DC}"/>
            </a:ext>
          </a:extLst>
        </xdr:cNvPr>
        <xdr:cNvCxnSpPr>
          <a:stCxn id="39" idx="2"/>
          <a:endCxn id="55" idx="6"/>
        </xdr:cNvCxnSpPr>
      </xdr:nvCxnSpPr>
      <xdr:spPr>
        <a:xfrm flipH="1" flipV="1">
          <a:off x="1612125" y="17867243"/>
          <a:ext cx="3598050" cy="2857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573900</xdr:colOff>
      <xdr:row>95</xdr:row>
      <xdr:rowOff>131693</xdr:rowOff>
    </xdr:from>
    <xdr:to>
      <xdr:col>6</xdr:col>
      <xdr:colOff>238125</xdr:colOff>
      <xdr:row>100</xdr:row>
      <xdr:rowOff>36443</xdr:rowOff>
    </xdr:to>
    <xdr:cxnSp macro="">
      <xdr:nvCxnSpPr>
        <xdr:cNvPr id="72" name="Connettore 2 71">
          <a:extLst>
            <a:ext uri="{FF2B5EF4-FFF2-40B4-BE49-F238E27FC236}">
              <a16:creationId xmlns:a16="http://schemas.microsoft.com/office/drawing/2014/main" id="{B59D2D47-D5DD-4E23-B973-793B60D90F06}"/>
            </a:ext>
          </a:extLst>
        </xdr:cNvPr>
        <xdr:cNvCxnSpPr>
          <a:stCxn id="39" idx="2"/>
          <a:endCxn id="56" idx="6"/>
        </xdr:cNvCxnSpPr>
      </xdr:nvCxnSpPr>
      <xdr:spPr>
        <a:xfrm flipH="1">
          <a:off x="1640700" y="17895818"/>
          <a:ext cx="3569475" cy="80962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36921</xdr:colOff>
      <xdr:row>92</xdr:row>
      <xdr:rowOff>67555</xdr:rowOff>
    </xdr:from>
    <xdr:to>
      <xdr:col>5</xdr:col>
      <xdr:colOff>75021</xdr:colOff>
      <xdr:row>94</xdr:row>
      <xdr:rowOff>96646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5" name="CasellaDiTesto 74">
              <a:extLst>
                <a:ext uri="{FF2B5EF4-FFF2-40B4-BE49-F238E27FC236}">
                  <a16:creationId xmlns:a16="http://schemas.microsoft.com/office/drawing/2014/main" id="{CB69CC71-4C95-472D-807F-5F2F73974012}"/>
                </a:ext>
              </a:extLst>
            </xdr:cNvPr>
            <xdr:cNvSpPr txBox="1"/>
          </xdr:nvSpPr>
          <xdr:spPr>
            <a:xfrm rot="921899">
              <a:off x="3446871" y="17288755"/>
              <a:ext cx="819150" cy="3910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it-IT" sz="16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𝟏</m:t>
                    </m:r>
                    <m:r>
                      <a:rPr lang="it-IT" sz="16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it-IT" sz="16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6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𝒅</m:t>
                        </m:r>
                      </m:e>
                      <m:sub>
                        <m:r>
                          <a:rPr lang="it-IT" sz="16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  <m:r>
                          <a:rPr lang="it-IT" sz="16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𝑨</m:t>
                        </m:r>
                      </m:sub>
                    </m:sSub>
                  </m:oMath>
                </m:oMathPara>
              </a14:m>
              <a:endParaRPr lang="it-IT" sz="1100" b="1"/>
            </a:p>
          </xdr:txBody>
        </xdr:sp>
      </mc:Choice>
      <mc:Fallback xmlns="">
        <xdr:sp macro="" textlink="">
          <xdr:nvSpPr>
            <xdr:cNvPr id="75" name="CasellaDiTesto 74">
              <a:extLst>
                <a:ext uri="{FF2B5EF4-FFF2-40B4-BE49-F238E27FC236}">
                  <a16:creationId xmlns:a16="http://schemas.microsoft.com/office/drawing/2014/main" id="{CB69CC71-4C95-472D-807F-5F2F73974012}"/>
                </a:ext>
              </a:extLst>
            </xdr:cNvPr>
            <xdr:cNvSpPr txBox="1"/>
          </xdr:nvSpPr>
          <xdr:spPr>
            <a:xfrm rot="921899">
              <a:off x="3446871" y="17288755"/>
              <a:ext cx="819150" cy="3910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it-IT" sz="1600" b="1" i="0">
                  <a:solidFill>
                    <a:srgbClr val="FF0000"/>
                  </a:solidFill>
                  <a:latin typeface="Cambria Math" panose="02040503050406030204" pitchFamily="18" charset="0"/>
                </a:rPr>
                <a:t>𝟏</a:t>
              </a:r>
              <a:r>
                <a:rPr lang="it-IT" sz="1600" b="1" i="0">
                  <a:solidFill>
                    <a:srgbClr val="FF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∙𝒅_𝟏𝑨</a:t>
              </a:r>
              <a:endParaRPr lang="it-IT" sz="1100" b="1"/>
            </a:p>
          </xdr:txBody>
        </xdr:sp>
      </mc:Fallback>
    </mc:AlternateContent>
    <xdr:clientData/>
  </xdr:twoCellAnchor>
  <xdr:twoCellAnchor>
    <xdr:from>
      <xdr:col>2</xdr:col>
      <xdr:colOff>155624</xdr:colOff>
      <xdr:row>94</xdr:row>
      <xdr:rowOff>34844</xdr:rowOff>
    </xdr:from>
    <xdr:to>
      <xdr:col>3</xdr:col>
      <xdr:colOff>193723</xdr:colOff>
      <xdr:row>96</xdr:row>
      <xdr:rowOff>82576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8" name="CasellaDiTesto 77">
              <a:extLst>
                <a:ext uri="{FF2B5EF4-FFF2-40B4-BE49-F238E27FC236}">
                  <a16:creationId xmlns:a16="http://schemas.microsoft.com/office/drawing/2014/main" id="{ACE8C980-090B-4E29-A858-DF909F146B80}"/>
                </a:ext>
              </a:extLst>
            </xdr:cNvPr>
            <xdr:cNvSpPr txBox="1"/>
          </xdr:nvSpPr>
          <xdr:spPr>
            <a:xfrm>
              <a:off x="2003474" y="17617994"/>
              <a:ext cx="819149" cy="409682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it-IT" sz="16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𝟏</m:t>
                    </m:r>
                    <m:r>
                      <a:rPr lang="it-IT" sz="16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it-IT" sz="16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6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𝒅</m:t>
                        </m:r>
                      </m:e>
                      <m:sub>
                        <m:r>
                          <a:rPr lang="it-IT" sz="16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  <m:r>
                          <a:rPr lang="it-IT" sz="16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𝑭</m:t>
                        </m:r>
                      </m:sub>
                    </m:sSub>
                  </m:oMath>
                </m:oMathPara>
              </a14:m>
              <a:endParaRPr lang="it-IT" sz="1100" b="1"/>
            </a:p>
          </xdr:txBody>
        </xdr:sp>
      </mc:Choice>
      <mc:Fallback xmlns="">
        <xdr:sp macro="" textlink="">
          <xdr:nvSpPr>
            <xdr:cNvPr id="78" name="CasellaDiTesto 77">
              <a:extLst>
                <a:ext uri="{FF2B5EF4-FFF2-40B4-BE49-F238E27FC236}">
                  <a16:creationId xmlns:a16="http://schemas.microsoft.com/office/drawing/2014/main" id="{ACE8C980-090B-4E29-A858-DF909F146B80}"/>
                </a:ext>
              </a:extLst>
            </xdr:cNvPr>
            <xdr:cNvSpPr txBox="1"/>
          </xdr:nvSpPr>
          <xdr:spPr>
            <a:xfrm>
              <a:off x="2003474" y="17617994"/>
              <a:ext cx="819149" cy="409682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it-IT" sz="1600" b="1" i="0">
                  <a:solidFill>
                    <a:srgbClr val="FF0000"/>
                  </a:solidFill>
                  <a:latin typeface="Cambria Math" panose="02040503050406030204" pitchFamily="18" charset="0"/>
                </a:rPr>
                <a:t>𝟏</a:t>
              </a:r>
              <a:r>
                <a:rPr lang="it-IT" sz="1600" b="1" i="0">
                  <a:solidFill>
                    <a:srgbClr val="FF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∙𝒅_𝟏𝑭</a:t>
              </a:r>
              <a:endParaRPr lang="it-IT" sz="1100" b="1"/>
            </a:p>
          </xdr:txBody>
        </xdr:sp>
      </mc:Fallback>
    </mc:AlternateContent>
    <xdr:clientData/>
  </xdr:twoCellAnchor>
  <xdr:twoCellAnchor>
    <xdr:from>
      <xdr:col>2</xdr:col>
      <xdr:colOff>282834</xdr:colOff>
      <xdr:row>98</xdr:row>
      <xdr:rowOff>6329</xdr:rowOff>
    </xdr:from>
    <xdr:to>
      <xdr:col>3</xdr:col>
      <xdr:colOff>484370</xdr:colOff>
      <xdr:row>100</xdr:row>
      <xdr:rowOff>9525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9" name="CasellaDiTesto 78">
              <a:extLst>
                <a:ext uri="{FF2B5EF4-FFF2-40B4-BE49-F238E27FC236}">
                  <a16:creationId xmlns:a16="http://schemas.microsoft.com/office/drawing/2014/main" id="{F7AFAAB5-97AC-48B6-B20C-14FA9B1C5A50}"/>
                </a:ext>
              </a:extLst>
            </xdr:cNvPr>
            <xdr:cNvSpPr txBox="1"/>
          </xdr:nvSpPr>
          <xdr:spPr>
            <a:xfrm rot="20390091">
              <a:off x="2130684" y="18313379"/>
              <a:ext cx="982586" cy="36514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it-IT" sz="1600" b="1">
                  <a:solidFill>
                    <a:srgbClr val="FF0000"/>
                  </a:solidFill>
                  <a:ea typeface="Cambria Math" panose="02040503050406030204" pitchFamily="18" charset="0"/>
                </a:rPr>
                <a:t>1</a:t>
              </a:r>
              <a14:m>
                <m:oMath xmlns:m="http://schemas.openxmlformats.org/officeDocument/2006/math">
                  <m:r>
                    <a:rPr lang="it-IT" sz="1600" b="1" i="1">
                      <a:solidFill>
                        <a:srgbClr val="FF0000"/>
                      </a:solidFill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sSub>
                    <m:sSubPr>
                      <m:ctrlPr>
                        <a:rPr lang="it-IT" sz="1600" b="1" i="1">
                          <a:solidFill>
                            <a:srgbClr val="FF0000"/>
                          </a:solidFill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sSubPr>
                    <m:e>
                      <m:r>
                        <a:rPr lang="it-IT" sz="1600" b="1" i="1">
                          <a:solidFill>
                            <a:srgbClr val="FF0000"/>
                          </a:solidFill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𝒅</m:t>
                      </m:r>
                    </m:e>
                    <m:sub>
                      <m:r>
                        <a:rPr lang="it-IT" sz="1600" b="1" i="1">
                          <a:solidFill>
                            <a:srgbClr val="FF0000"/>
                          </a:solidFill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𝟏</m:t>
                      </m:r>
                      <m:r>
                        <a:rPr lang="it-IT" sz="1600" b="1" i="1">
                          <a:solidFill>
                            <a:srgbClr val="FF0000"/>
                          </a:solidFill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𝑮</m:t>
                      </m:r>
                    </m:sub>
                  </m:sSub>
                </m:oMath>
              </a14:m>
              <a:endParaRPr lang="it-IT" sz="1100" b="1"/>
            </a:p>
          </xdr:txBody>
        </xdr:sp>
      </mc:Choice>
      <mc:Fallback xmlns="">
        <xdr:sp macro="" textlink="">
          <xdr:nvSpPr>
            <xdr:cNvPr id="79" name="CasellaDiTesto 78">
              <a:extLst>
                <a:ext uri="{FF2B5EF4-FFF2-40B4-BE49-F238E27FC236}">
                  <a16:creationId xmlns:a16="http://schemas.microsoft.com/office/drawing/2014/main" id="{F7AFAAB5-97AC-48B6-B20C-14FA9B1C5A50}"/>
                </a:ext>
              </a:extLst>
            </xdr:cNvPr>
            <xdr:cNvSpPr txBox="1"/>
          </xdr:nvSpPr>
          <xdr:spPr>
            <a:xfrm rot="20390091">
              <a:off x="2130684" y="18313379"/>
              <a:ext cx="982586" cy="36514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it-IT" sz="1600" b="1">
                  <a:solidFill>
                    <a:srgbClr val="FF0000"/>
                  </a:solidFill>
                  <a:ea typeface="Cambria Math" panose="02040503050406030204" pitchFamily="18" charset="0"/>
                </a:rPr>
                <a:t>1</a:t>
              </a:r>
              <a:r>
                <a:rPr lang="it-IT" sz="1600" b="1" i="0">
                  <a:solidFill>
                    <a:srgbClr val="FF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∙𝒅_𝟏𝑮</a:t>
              </a:r>
              <a:endParaRPr lang="it-IT" sz="1100" b="1"/>
            </a:p>
          </xdr:txBody>
        </xdr:sp>
      </mc:Fallback>
    </mc:AlternateContent>
    <xdr:clientData/>
  </xdr:twoCellAnchor>
  <xdr:twoCellAnchor>
    <xdr:from>
      <xdr:col>1</xdr:col>
      <xdr:colOff>326250</xdr:colOff>
      <xdr:row>109</xdr:row>
      <xdr:rowOff>84068</xdr:rowOff>
    </xdr:from>
    <xdr:to>
      <xdr:col>6</xdr:col>
      <xdr:colOff>400050</xdr:colOff>
      <xdr:row>115</xdr:row>
      <xdr:rowOff>7868</xdr:rowOff>
    </xdr:to>
    <xdr:cxnSp macro="">
      <xdr:nvCxnSpPr>
        <xdr:cNvPr id="83" name="Connettore 2 82">
          <a:extLst>
            <a:ext uri="{FF2B5EF4-FFF2-40B4-BE49-F238E27FC236}">
              <a16:creationId xmlns:a16="http://schemas.microsoft.com/office/drawing/2014/main" id="{6710C56A-3EAC-47AF-9130-B8F68D52C728}"/>
            </a:ext>
          </a:extLst>
        </xdr:cNvPr>
        <xdr:cNvCxnSpPr>
          <a:cxnSpLocks/>
          <a:stCxn id="40" idx="2"/>
          <a:endCxn id="51" idx="6"/>
        </xdr:cNvCxnSpPr>
      </xdr:nvCxnSpPr>
      <xdr:spPr>
        <a:xfrm flipH="1" flipV="1">
          <a:off x="1393050" y="20381843"/>
          <a:ext cx="3979050" cy="10096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488175</xdr:colOff>
      <xdr:row>115</xdr:row>
      <xdr:rowOff>7868</xdr:rowOff>
    </xdr:from>
    <xdr:to>
      <xdr:col>6</xdr:col>
      <xdr:colOff>400050</xdr:colOff>
      <xdr:row>115</xdr:row>
      <xdr:rowOff>45968</xdr:rowOff>
    </xdr:to>
    <xdr:cxnSp macro="">
      <xdr:nvCxnSpPr>
        <xdr:cNvPr id="86" name="Connettore 2 85">
          <a:extLst>
            <a:ext uri="{FF2B5EF4-FFF2-40B4-BE49-F238E27FC236}">
              <a16:creationId xmlns:a16="http://schemas.microsoft.com/office/drawing/2014/main" id="{1EEF75C5-7E10-4203-88F9-581A79A6019F}"/>
            </a:ext>
          </a:extLst>
        </xdr:cNvPr>
        <xdr:cNvCxnSpPr>
          <a:cxnSpLocks/>
          <a:stCxn id="40" idx="2"/>
          <a:endCxn id="52" idx="6"/>
        </xdr:cNvCxnSpPr>
      </xdr:nvCxnSpPr>
      <xdr:spPr>
        <a:xfrm flipH="1">
          <a:off x="1554975" y="21391493"/>
          <a:ext cx="3817125" cy="381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712875</xdr:colOff>
      <xdr:row>95</xdr:row>
      <xdr:rowOff>131693</xdr:rowOff>
    </xdr:from>
    <xdr:to>
      <xdr:col>6</xdr:col>
      <xdr:colOff>238125</xdr:colOff>
      <xdr:row>106</xdr:row>
      <xdr:rowOff>3063</xdr:rowOff>
    </xdr:to>
    <xdr:cxnSp macro="">
      <xdr:nvCxnSpPr>
        <xdr:cNvPr id="89" name="Connettore 2 88">
          <a:extLst>
            <a:ext uri="{FF2B5EF4-FFF2-40B4-BE49-F238E27FC236}">
              <a16:creationId xmlns:a16="http://schemas.microsoft.com/office/drawing/2014/main" id="{CA59195B-8DEE-452D-B252-5D1605A79A18}"/>
            </a:ext>
          </a:extLst>
        </xdr:cNvPr>
        <xdr:cNvCxnSpPr>
          <a:cxnSpLocks/>
          <a:stCxn id="39" idx="2"/>
          <a:endCxn id="57" idx="7"/>
        </xdr:cNvCxnSpPr>
      </xdr:nvCxnSpPr>
      <xdr:spPr>
        <a:xfrm flipH="1">
          <a:off x="3341775" y="17895818"/>
          <a:ext cx="1868400" cy="1862095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602475</xdr:colOff>
      <xdr:row>115</xdr:row>
      <xdr:rowOff>7868</xdr:rowOff>
    </xdr:from>
    <xdr:to>
      <xdr:col>6</xdr:col>
      <xdr:colOff>400050</xdr:colOff>
      <xdr:row>120</xdr:row>
      <xdr:rowOff>93593</xdr:rowOff>
    </xdr:to>
    <xdr:cxnSp macro="">
      <xdr:nvCxnSpPr>
        <xdr:cNvPr id="91" name="Connettore 2 90">
          <a:extLst>
            <a:ext uri="{FF2B5EF4-FFF2-40B4-BE49-F238E27FC236}">
              <a16:creationId xmlns:a16="http://schemas.microsoft.com/office/drawing/2014/main" id="{512DBC8E-F283-4172-9095-CB42B243DDDB}"/>
            </a:ext>
          </a:extLst>
        </xdr:cNvPr>
        <xdr:cNvCxnSpPr>
          <a:cxnSpLocks/>
          <a:stCxn id="40" idx="2"/>
          <a:endCxn id="53" idx="6"/>
        </xdr:cNvCxnSpPr>
      </xdr:nvCxnSpPr>
      <xdr:spPr>
        <a:xfrm flipH="1">
          <a:off x="1669275" y="21391493"/>
          <a:ext cx="3702825" cy="99060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561975</xdr:colOff>
      <xdr:row>124</xdr:row>
      <xdr:rowOff>28575</xdr:rowOff>
    </xdr:from>
    <xdr:to>
      <xdr:col>2</xdr:col>
      <xdr:colOff>392925</xdr:colOff>
      <xdr:row>127</xdr:row>
      <xdr:rowOff>91935</xdr:rowOff>
    </xdr:to>
    <xdr:sp macro="" textlink="">
      <xdr:nvSpPr>
        <xdr:cNvPr id="104" name="Connettore 103">
          <a:extLst>
            <a:ext uri="{FF2B5EF4-FFF2-40B4-BE49-F238E27FC236}">
              <a16:creationId xmlns:a16="http://schemas.microsoft.com/office/drawing/2014/main" id="{CC908700-FD4B-414C-9E4C-3B6A15B27BBC}"/>
            </a:ext>
          </a:extLst>
        </xdr:cNvPr>
        <xdr:cNvSpPr/>
      </xdr:nvSpPr>
      <xdr:spPr>
        <a:xfrm>
          <a:off x="1628775" y="23040975"/>
          <a:ext cx="612000" cy="606285"/>
        </a:xfrm>
        <a:prstGeom prst="flowChartConnector">
          <a:avLst/>
        </a:prstGeom>
        <a:ln w="28575"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it-IT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H</a:t>
          </a:r>
        </a:p>
      </xdr:txBody>
    </xdr:sp>
    <xdr:clientData/>
  </xdr:twoCellAnchor>
  <xdr:twoCellAnchor>
    <xdr:from>
      <xdr:col>2</xdr:col>
      <xdr:colOff>353626</xdr:colOff>
      <xdr:row>115</xdr:row>
      <xdr:rowOff>7868</xdr:rowOff>
    </xdr:from>
    <xdr:to>
      <xdr:col>6</xdr:col>
      <xdr:colOff>400050</xdr:colOff>
      <xdr:row>125</xdr:row>
      <xdr:rowOff>9525</xdr:rowOff>
    </xdr:to>
    <xdr:cxnSp macro="">
      <xdr:nvCxnSpPr>
        <xdr:cNvPr id="106" name="Connettore 2 105">
          <a:extLst>
            <a:ext uri="{FF2B5EF4-FFF2-40B4-BE49-F238E27FC236}">
              <a16:creationId xmlns:a16="http://schemas.microsoft.com/office/drawing/2014/main" id="{21F1ADA2-88EA-4D4A-BEE7-B49D162B3769}"/>
            </a:ext>
          </a:extLst>
        </xdr:cNvPr>
        <xdr:cNvCxnSpPr>
          <a:cxnSpLocks/>
          <a:stCxn id="40" idx="2"/>
        </xdr:cNvCxnSpPr>
      </xdr:nvCxnSpPr>
      <xdr:spPr>
        <a:xfrm flipH="1">
          <a:off x="2201476" y="21391493"/>
          <a:ext cx="3170624" cy="181140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119</xdr:row>
      <xdr:rowOff>57148</xdr:rowOff>
    </xdr:from>
    <xdr:to>
      <xdr:col>5</xdr:col>
      <xdr:colOff>333375</xdr:colOff>
      <xdr:row>121</xdr:row>
      <xdr:rowOff>60344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9" name="CasellaDiTesto 108">
              <a:extLst>
                <a:ext uri="{FF2B5EF4-FFF2-40B4-BE49-F238E27FC236}">
                  <a16:creationId xmlns:a16="http://schemas.microsoft.com/office/drawing/2014/main" id="{E11243AF-01B4-494F-9D46-8D187E6843C0}"/>
                </a:ext>
              </a:extLst>
            </xdr:cNvPr>
            <xdr:cNvSpPr txBox="1"/>
          </xdr:nvSpPr>
          <xdr:spPr>
            <a:xfrm rot="19462329">
              <a:off x="3409950" y="22164673"/>
              <a:ext cx="1114425" cy="36514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it-IT" sz="1600" b="1">
                  <a:solidFill>
                    <a:srgbClr val="FF0000"/>
                  </a:solidFill>
                  <a:ea typeface="Cambria Math" panose="02040503050406030204" pitchFamily="18" charset="0"/>
                </a:rPr>
                <a:t>0,7</a:t>
              </a:r>
              <a14:m>
                <m:oMath xmlns:m="http://schemas.openxmlformats.org/officeDocument/2006/math">
                  <m:r>
                    <a:rPr lang="it-IT" sz="1600" b="1" i="1">
                      <a:solidFill>
                        <a:srgbClr val="FF0000"/>
                      </a:solidFill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sSub>
                    <m:sSubPr>
                      <m:ctrlPr>
                        <a:rPr lang="it-IT" sz="1600" b="1" i="1">
                          <a:solidFill>
                            <a:srgbClr val="FF0000"/>
                          </a:solidFill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sSubPr>
                    <m:e>
                      <m:r>
                        <a:rPr lang="it-IT" sz="1600" b="1" i="1">
                          <a:solidFill>
                            <a:srgbClr val="FF0000"/>
                          </a:solidFill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𝒅</m:t>
                      </m:r>
                    </m:e>
                    <m:sub>
                      <m:r>
                        <a:rPr lang="it-IT" sz="1600" b="1" i="1">
                          <a:solidFill>
                            <a:srgbClr val="FF0000"/>
                          </a:solidFill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𝟏</m:t>
                      </m:r>
                      <m:r>
                        <a:rPr lang="it-IT" sz="1600" b="1" i="1">
                          <a:solidFill>
                            <a:srgbClr val="FF0000"/>
                          </a:solidFill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𝑯</m:t>
                      </m:r>
                    </m:sub>
                  </m:sSub>
                </m:oMath>
              </a14:m>
              <a:endParaRPr lang="it-IT" sz="1100" b="1"/>
            </a:p>
          </xdr:txBody>
        </xdr:sp>
      </mc:Choice>
      <mc:Fallback xmlns="">
        <xdr:sp macro="" textlink="">
          <xdr:nvSpPr>
            <xdr:cNvPr id="109" name="CasellaDiTesto 108">
              <a:extLst>
                <a:ext uri="{FF2B5EF4-FFF2-40B4-BE49-F238E27FC236}">
                  <a16:creationId xmlns:a16="http://schemas.microsoft.com/office/drawing/2014/main" id="{E11243AF-01B4-494F-9D46-8D187E6843C0}"/>
                </a:ext>
              </a:extLst>
            </xdr:cNvPr>
            <xdr:cNvSpPr txBox="1"/>
          </xdr:nvSpPr>
          <xdr:spPr>
            <a:xfrm rot="19462329">
              <a:off x="3409950" y="22164673"/>
              <a:ext cx="1114425" cy="36514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it-IT" sz="1600" b="1">
                  <a:solidFill>
                    <a:srgbClr val="FF0000"/>
                  </a:solidFill>
                  <a:ea typeface="Cambria Math" panose="02040503050406030204" pitchFamily="18" charset="0"/>
                </a:rPr>
                <a:t>0,7</a:t>
              </a:r>
              <a:r>
                <a:rPr lang="it-IT" sz="1600" b="1" i="0">
                  <a:solidFill>
                    <a:srgbClr val="FF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∙𝒅_𝟏𝑯</a:t>
              </a:r>
              <a:endParaRPr lang="it-IT" sz="1100" b="1"/>
            </a:p>
          </xdr:txBody>
        </xdr:sp>
      </mc:Fallback>
    </mc:AlternateContent>
    <xdr:clientData/>
  </xdr:twoCellAnchor>
  <xdr:twoCellAnchor>
    <xdr:from>
      <xdr:col>2</xdr:col>
      <xdr:colOff>766917</xdr:colOff>
      <xdr:row>110</xdr:row>
      <xdr:rowOff>68596</xdr:rowOff>
    </xdr:from>
    <xdr:to>
      <xdr:col>4</xdr:col>
      <xdr:colOff>23966</xdr:colOff>
      <xdr:row>112</xdr:row>
      <xdr:rowOff>44820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3" name="CasellaDiTesto 112">
              <a:extLst>
                <a:ext uri="{FF2B5EF4-FFF2-40B4-BE49-F238E27FC236}">
                  <a16:creationId xmlns:a16="http://schemas.microsoft.com/office/drawing/2014/main" id="{F7DB0CED-79A5-4E6B-A3BD-05DE45BAEDC6}"/>
                </a:ext>
              </a:extLst>
            </xdr:cNvPr>
            <xdr:cNvSpPr txBox="1"/>
          </xdr:nvSpPr>
          <xdr:spPr>
            <a:xfrm rot="1397034">
              <a:off x="2614767" y="20547346"/>
              <a:ext cx="819149" cy="33817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it-IT" sz="16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𝟏</m:t>
                    </m:r>
                    <m:r>
                      <a:rPr lang="it-IT" sz="16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it-IT" sz="16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6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𝒅</m:t>
                        </m:r>
                      </m:e>
                      <m:sub>
                        <m:r>
                          <a:rPr lang="it-IT" sz="16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  <m:r>
                          <a:rPr lang="it-IT" sz="16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𝑩</m:t>
                        </m:r>
                      </m:sub>
                    </m:sSub>
                  </m:oMath>
                </m:oMathPara>
              </a14:m>
              <a:endParaRPr lang="it-IT" sz="1100" b="1"/>
            </a:p>
          </xdr:txBody>
        </xdr:sp>
      </mc:Choice>
      <mc:Fallback xmlns="">
        <xdr:sp macro="" textlink="">
          <xdr:nvSpPr>
            <xdr:cNvPr id="113" name="CasellaDiTesto 112">
              <a:extLst>
                <a:ext uri="{FF2B5EF4-FFF2-40B4-BE49-F238E27FC236}">
                  <a16:creationId xmlns:a16="http://schemas.microsoft.com/office/drawing/2014/main" id="{F7DB0CED-79A5-4E6B-A3BD-05DE45BAEDC6}"/>
                </a:ext>
              </a:extLst>
            </xdr:cNvPr>
            <xdr:cNvSpPr txBox="1"/>
          </xdr:nvSpPr>
          <xdr:spPr>
            <a:xfrm rot="1397034">
              <a:off x="2614767" y="20547346"/>
              <a:ext cx="819149" cy="33817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it-IT" sz="1600" b="1" i="0">
                  <a:solidFill>
                    <a:srgbClr val="FF0000"/>
                  </a:solidFill>
                  <a:latin typeface="Cambria Math" panose="02040503050406030204" pitchFamily="18" charset="0"/>
                </a:rPr>
                <a:t>𝟏</a:t>
              </a:r>
              <a:r>
                <a:rPr lang="it-IT" sz="1600" b="1" i="0">
                  <a:solidFill>
                    <a:srgbClr val="FF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∙𝒅_𝟏𝑩</a:t>
              </a:r>
              <a:endParaRPr lang="it-IT" sz="1100" b="1"/>
            </a:p>
          </xdr:txBody>
        </xdr:sp>
      </mc:Fallback>
    </mc:AlternateContent>
    <xdr:clientData/>
  </xdr:twoCellAnchor>
  <xdr:twoCellAnchor>
    <xdr:from>
      <xdr:col>2</xdr:col>
      <xdr:colOff>542925</xdr:colOff>
      <xdr:row>114</xdr:row>
      <xdr:rowOff>133350</xdr:rowOff>
    </xdr:from>
    <xdr:to>
      <xdr:col>3</xdr:col>
      <xdr:colOff>581024</xdr:colOff>
      <xdr:row>117</xdr:row>
      <xdr:rowOff>107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5" name="CasellaDiTesto 114">
              <a:extLst>
                <a:ext uri="{FF2B5EF4-FFF2-40B4-BE49-F238E27FC236}">
                  <a16:creationId xmlns:a16="http://schemas.microsoft.com/office/drawing/2014/main" id="{30CF676E-A5A4-416A-98EE-DC24024BCB82}"/>
                </a:ext>
              </a:extLst>
            </xdr:cNvPr>
            <xdr:cNvSpPr txBox="1"/>
          </xdr:nvSpPr>
          <xdr:spPr>
            <a:xfrm rot="315452">
              <a:off x="2390775" y="21336000"/>
              <a:ext cx="819149" cy="409682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it-IT" sz="16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𝟏</m:t>
                    </m:r>
                    <m:r>
                      <a:rPr lang="it-IT" sz="16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it-IT" sz="16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6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𝒅</m:t>
                        </m:r>
                      </m:e>
                      <m:sub>
                        <m:r>
                          <a:rPr lang="it-IT" sz="16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  <m:r>
                          <a:rPr lang="it-IT" sz="16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𝑪</m:t>
                        </m:r>
                      </m:sub>
                    </m:sSub>
                  </m:oMath>
                </m:oMathPara>
              </a14:m>
              <a:endParaRPr lang="it-IT" sz="1100" b="1"/>
            </a:p>
          </xdr:txBody>
        </xdr:sp>
      </mc:Choice>
      <mc:Fallback xmlns="">
        <xdr:sp macro="" textlink="">
          <xdr:nvSpPr>
            <xdr:cNvPr id="115" name="CasellaDiTesto 114">
              <a:extLst>
                <a:ext uri="{FF2B5EF4-FFF2-40B4-BE49-F238E27FC236}">
                  <a16:creationId xmlns:a16="http://schemas.microsoft.com/office/drawing/2014/main" id="{30CF676E-A5A4-416A-98EE-DC24024BCB82}"/>
                </a:ext>
              </a:extLst>
            </xdr:cNvPr>
            <xdr:cNvSpPr txBox="1"/>
          </xdr:nvSpPr>
          <xdr:spPr>
            <a:xfrm rot="315452">
              <a:off x="2390775" y="21336000"/>
              <a:ext cx="819149" cy="409682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it-IT" sz="1600" b="1" i="0">
                  <a:solidFill>
                    <a:srgbClr val="FF0000"/>
                  </a:solidFill>
                  <a:latin typeface="Cambria Math" panose="02040503050406030204" pitchFamily="18" charset="0"/>
                </a:rPr>
                <a:t>𝟏</a:t>
              </a:r>
              <a:r>
                <a:rPr lang="it-IT" sz="1600" b="1" i="0">
                  <a:solidFill>
                    <a:srgbClr val="FF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∙𝒅_𝟏𝑪</a:t>
              </a:r>
              <a:endParaRPr lang="it-IT" sz="1100" b="1"/>
            </a:p>
          </xdr:txBody>
        </xdr:sp>
      </mc:Fallback>
    </mc:AlternateContent>
    <xdr:clientData/>
  </xdr:twoCellAnchor>
  <xdr:twoCellAnchor>
    <xdr:from>
      <xdr:col>2</xdr:col>
      <xdr:colOff>527665</xdr:colOff>
      <xdr:row>118</xdr:row>
      <xdr:rowOff>8787</xdr:rowOff>
    </xdr:from>
    <xdr:to>
      <xdr:col>3</xdr:col>
      <xdr:colOff>706601</xdr:colOff>
      <xdr:row>120</xdr:row>
      <xdr:rowOff>56519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6" name="CasellaDiTesto 115">
              <a:extLst>
                <a:ext uri="{FF2B5EF4-FFF2-40B4-BE49-F238E27FC236}">
                  <a16:creationId xmlns:a16="http://schemas.microsoft.com/office/drawing/2014/main" id="{41856274-C3D3-4794-9CE0-AF176FC5E6DF}"/>
                </a:ext>
              </a:extLst>
            </xdr:cNvPr>
            <xdr:cNvSpPr txBox="1"/>
          </xdr:nvSpPr>
          <xdr:spPr>
            <a:xfrm rot="20682990">
              <a:off x="2375515" y="21935337"/>
              <a:ext cx="959986" cy="409682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it-IT" sz="16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𝟏</m:t>
                    </m:r>
                    <m:r>
                      <a:rPr lang="it-IT" sz="16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it-IT" sz="16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6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𝒅</m:t>
                        </m:r>
                      </m:e>
                      <m:sub>
                        <m:r>
                          <a:rPr lang="it-IT" sz="16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  <m:r>
                          <a:rPr lang="it-IT" sz="16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𝑫</m:t>
                        </m:r>
                      </m:sub>
                    </m:sSub>
                  </m:oMath>
                </m:oMathPara>
              </a14:m>
              <a:endParaRPr lang="it-IT" sz="1100" b="1"/>
            </a:p>
          </xdr:txBody>
        </xdr:sp>
      </mc:Choice>
      <mc:Fallback xmlns="">
        <xdr:sp macro="" textlink="">
          <xdr:nvSpPr>
            <xdr:cNvPr id="116" name="CasellaDiTesto 115">
              <a:extLst>
                <a:ext uri="{FF2B5EF4-FFF2-40B4-BE49-F238E27FC236}">
                  <a16:creationId xmlns:a16="http://schemas.microsoft.com/office/drawing/2014/main" id="{41856274-C3D3-4794-9CE0-AF176FC5E6DF}"/>
                </a:ext>
              </a:extLst>
            </xdr:cNvPr>
            <xdr:cNvSpPr txBox="1"/>
          </xdr:nvSpPr>
          <xdr:spPr>
            <a:xfrm rot="20682990">
              <a:off x="2375515" y="21935337"/>
              <a:ext cx="959986" cy="409682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it-IT" sz="1600" b="1" i="0">
                  <a:solidFill>
                    <a:srgbClr val="FF0000"/>
                  </a:solidFill>
                  <a:latin typeface="Cambria Math" panose="02040503050406030204" pitchFamily="18" charset="0"/>
                </a:rPr>
                <a:t>𝟏</a:t>
              </a:r>
              <a:r>
                <a:rPr lang="it-IT" sz="1600" b="1" i="0">
                  <a:solidFill>
                    <a:srgbClr val="FF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∙𝒅_𝟏𝑫</a:t>
              </a:r>
              <a:endParaRPr lang="it-IT" sz="1100" b="1"/>
            </a:p>
          </xdr:txBody>
        </xdr:sp>
      </mc:Fallback>
    </mc:AlternateContent>
    <xdr:clientData/>
  </xdr:twoCellAnchor>
  <xdr:twoCellAnchor>
    <xdr:from>
      <xdr:col>2</xdr:col>
      <xdr:colOff>409573</xdr:colOff>
      <xdr:row>101</xdr:row>
      <xdr:rowOff>114301</xdr:rowOff>
    </xdr:from>
    <xdr:to>
      <xdr:col>3</xdr:col>
      <xdr:colOff>447672</xdr:colOff>
      <xdr:row>103</xdr:row>
      <xdr:rowOff>162033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7" name="CasellaDiTesto 116">
              <a:extLst>
                <a:ext uri="{FF2B5EF4-FFF2-40B4-BE49-F238E27FC236}">
                  <a16:creationId xmlns:a16="http://schemas.microsoft.com/office/drawing/2014/main" id="{65C728ED-1D8D-44F8-AA62-262CCDA89E44}"/>
                </a:ext>
              </a:extLst>
            </xdr:cNvPr>
            <xdr:cNvSpPr txBox="1"/>
          </xdr:nvSpPr>
          <xdr:spPr>
            <a:xfrm rot="20027158">
              <a:off x="2257423" y="18964276"/>
              <a:ext cx="819149" cy="409682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it-IT" sz="16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𝟏</m:t>
                    </m:r>
                    <m:r>
                      <a:rPr lang="it-IT" sz="16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it-IT" sz="16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6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𝒅</m:t>
                        </m:r>
                      </m:e>
                      <m:sub>
                        <m:r>
                          <a:rPr lang="it-IT" sz="16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  <m:r>
                          <a:rPr lang="it-IT" sz="16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𝑬</m:t>
                        </m:r>
                      </m:sub>
                    </m:sSub>
                  </m:oMath>
                </m:oMathPara>
              </a14:m>
              <a:endParaRPr lang="it-IT" sz="1100" b="1"/>
            </a:p>
          </xdr:txBody>
        </xdr:sp>
      </mc:Choice>
      <mc:Fallback xmlns="">
        <xdr:sp macro="" textlink="">
          <xdr:nvSpPr>
            <xdr:cNvPr id="117" name="CasellaDiTesto 116">
              <a:extLst>
                <a:ext uri="{FF2B5EF4-FFF2-40B4-BE49-F238E27FC236}">
                  <a16:creationId xmlns:a16="http://schemas.microsoft.com/office/drawing/2014/main" id="{65C728ED-1D8D-44F8-AA62-262CCDA89E44}"/>
                </a:ext>
              </a:extLst>
            </xdr:cNvPr>
            <xdr:cNvSpPr txBox="1"/>
          </xdr:nvSpPr>
          <xdr:spPr>
            <a:xfrm rot="20027158">
              <a:off x="2257423" y="18964276"/>
              <a:ext cx="819149" cy="409682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:r>
                <a:rPr lang="it-IT" sz="1600" b="1" i="0">
                  <a:solidFill>
                    <a:srgbClr val="FF0000"/>
                  </a:solidFill>
                  <a:latin typeface="Cambria Math" panose="02040503050406030204" pitchFamily="18" charset="0"/>
                </a:rPr>
                <a:t>𝟏</a:t>
              </a:r>
              <a:r>
                <a:rPr lang="it-IT" sz="1600" b="1" i="0">
                  <a:solidFill>
                    <a:srgbClr val="FF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∙𝒅_𝟏𝑬</a:t>
              </a:r>
              <a:endParaRPr lang="it-IT" sz="1100" b="1"/>
            </a:p>
          </xdr:txBody>
        </xdr:sp>
      </mc:Fallback>
    </mc:AlternateContent>
    <xdr:clientData/>
  </xdr:twoCellAnchor>
  <xdr:twoCellAnchor>
    <xdr:from>
      <xdr:col>4</xdr:col>
      <xdr:colOff>749269</xdr:colOff>
      <xdr:row>99</xdr:row>
      <xdr:rowOff>77974</xdr:rowOff>
    </xdr:from>
    <xdr:to>
      <xdr:col>5</xdr:col>
      <xdr:colOff>377901</xdr:colOff>
      <xdr:row>104</xdr:row>
      <xdr:rowOff>148971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9" name="CasellaDiTesto 118">
              <a:extLst>
                <a:ext uri="{FF2B5EF4-FFF2-40B4-BE49-F238E27FC236}">
                  <a16:creationId xmlns:a16="http://schemas.microsoft.com/office/drawing/2014/main" id="{0E73CD11-3AA8-493C-A659-DDCEB28AA6BA}"/>
                </a:ext>
              </a:extLst>
            </xdr:cNvPr>
            <xdr:cNvSpPr txBox="1"/>
          </xdr:nvSpPr>
          <xdr:spPr>
            <a:xfrm rot="18771543">
              <a:off x="3876124" y="18849094"/>
              <a:ext cx="975872" cy="409682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it-IT" sz="1600" b="1">
                  <a:solidFill>
                    <a:srgbClr val="FF0000"/>
                  </a:solidFill>
                  <a:ea typeface="Cambria Math" panose="02040503050406030204" pitchFamily="18" charset="0"/>
                </a:rPr>
                <a:t>0,3</a:t>
              </a:r>
              <a14:m>
                <m:oMath xmlns:m="http://schemas.openxmlformats.org/officeDocument/2006/math">
                  <m:r>
                    <a:rPr lang="it-IT" sz="1600" b="1" i="1">
                      <a:solidFill>
                        <a:srgbClr val="FF0000"/>
                      </a:solidFill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sSub>
                    <m:sSubPr>
                      <m:ctrlPr>
                        <a:rPr lang="it-IT" sz="1600" b="1" i="1">
                          <a:solidFill>
                            <a:srgbClr val="FF0000"/>
                          </a:solidFill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sSubPr>
                    <m:e>
                      <m:r>
                        <a:rPr lang="it-IT" sz="1600" b="1" i="1">
                          <a:solidFill>
                            <a:srgbClr val="FF0000"/>
                          </a:solidFill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𝒅</m:t>
                      </m:r>
                    </m:e>
                    <m:sub>
                      <m:r>
                        <a:rPr lang="it-IT" sz="1600" b="1" i="1">
                          <a:solidFill>
                            <a:srgbClr val="FF0000"/>
                          </a:solidFill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𝟏</m:t>
                      </m:r>
                      <m:r>
                        <a:rPr lang="it-IT" sz="1600" b="1" i="1">
                          <a:solidFill>
                            <a:srgbClr val="FF0000"/>
                          </a:solidFill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𝑯</m:t>
                      </m:r>
                    </m:sub>
                  </m:sSub>
                </m:oMath>
              </a14:m>
              <a:endParaRPr lang="it-IT" sz="1100" b="1"/>
            </a:p>
          </xdr:txBody>
        </xdr:sp>
      </mc:Choice>
      <mc:Fallback xmlns="">
        <xdr:sp macro="" textlink="">
          <xdr:nvSpPr>
            <xdr:cNvPr id="119" name="CasellaDiTesto 118">
              <a:extLst>
                <a:ext uri="{FF2B5EF4-FFF2-40B4-BE49-F238E27FC236}">
                  <a16:creationId xmlns:a16="http://schemas.microsoft.com/office/drawing/2014/main" id="{0E73CD11-3AA8-493C-A659-DDCEB28AA6BA}"/>
                </a:ext>
              </a:extLst>
            </xdr:cNvPr>
            <xdr:cNvSpPr txBox="1"/>
          </xdr:nvSpPr>
          <xdr:spPr>
            <a:xfrm rot="18771543">
              <a:off x="3876124" y="18849094"/>
              <a:ext cx="975872" cy="409682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:r>
                <a:rPr lang="it-IT" sz="1600" b="1">
                  <a:solidFill>
                    <a:srgbClr val="FF0000"/>
                  </a:solidFill>
                  <a:ea typeface="Cambria Math" panose="02040503050406030204" pitchFamily="18" charset="0"/>
                </a:rPr>
                <a:t>0,3</a:t>
              </a:r>
              <a:r>
                <a:rPr lang="it-IT" sz="1600" b="1" i="0">
                  <a:solidFill>
                    <a:srgbClr val="FF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∙𝒅_𝟏𝑯</a:t>
              </a:r>
              <a:endParaRPr lang="it-IT" sz="1100" b="1"/>
            </a:p>
          </xdr:txBody>
        </xdr:sp>
      </mc:Fallback>
    </mc:AlternateContent>
    <xdr:clientData/>
  </xdr:twoCellAnchor>
  <xdr:twoCellAnchor>
    <xdr:from>
      <xdr:col>7</xdr:col>
      <xdr:colOff>145275</xdr:colOff>
      <xdr:row>95</xdr:row>
      <xdr:rowOff>20955</xdr:rowOff>
    </xdr:from>
    <xdr:to>
      <xdr:col>12</xdr:col>
      <xdr:colOff>1447800</xdr:colOff>
      <xdr:row>95</xdr:row>
      <xdr:rowOff>131693</xdr:rowOff>
    </xdr:to>
    <xdr:cxnSp macro="">
      <xdr:nvCxnSpPr>
        <xdr:cNvPr id="147" name="Connettore 2 146">
          <a:extLst>
            <a:ext uri="{FF2B5EF4-FFF2-40B4-BE49-F238E27FC236}">
              <a16:creationId xmlns:a16="http://schemas.microsoft.com/office/drawing/2014/main" id="{1AEB6C71-982D-452A-9FC8-EEDAFED6358D}"/>
            </a:ext>
          </a:extLst>
        </xdr:cNvPr>
        <xdr:cNvCxnSpPr>
          <a:cxnSpLocks/>
          <a:stCxn id="39" idx="6"/>
          <a:endCxn id="44" idx="2"/>
        </xdr:cNvCxnSpPr>
      </xdr:nvCxnSpPr>
      <xdr:spPr>
        <a:xfrm flipV="1">
          <a:off x="5822175" y="17785080"/>
          <a:ext cx="5426850" cy="110738"/>
        </a:xfrm>
        <a:prstGeom prst="straightConnector1">
          <a:avLst/>
        </a:prstGeom>
        <a:ln w="19050">
          <a:solidFill>
            <a:srgbClr val="00206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777442</xdr:colOff>
      <xdr:row>93</xdr:row>
      <xdr:rowOff>25631</xdr:rowOff>
    </xdr:from>
    <xdr:to>
      <xdr:col>12</xdr:col>
      <xdr:colOff>826642</xdr:colOff>
      <xdr:row>95</xdr:row>
      <xdr:rowOff>17450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0" name="CasellaDiTesto 149">
              <a:extLst>
                <a:ext uri="{FF2B5EF4-FFF2-40B4-BE49-F238E27FC236}">
                  <a16:creationId xmlns:a16="http://schemas.microsoft.com/office/drawing/2014/main" id="{1DAE78EF-A73E-4D08-A5E8-A7B62776906E}"/>
                </a:ext>
              </a:extLst>
            </xdr:cNvPr>
            <xdr:cNvSpPr txBox="1"/>
          </xdr:nvSpPr>
          <xdr:spPr>
            <a:xfrm>
              <a:off x="9645217" y="17427806"/>
              <a:ext cx="982650" cy="353769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rgbClr val="00206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it-IT" sz="1600" b="1" i="1">
                        <a:solidFill>
                          <a:srgbClr val="002060"/>
                        </a:solidFill>
                        <a:latin typeface="Cambria Math" panose="02040503050406030204" pitchFamily="18" charset="0"/>
                      </a:rPr>
                      <m:t>𝟏</m:t>
                    </m:r>
                    <m:r>
                      <a:rPr lang="it-IT" sz="1600" b="1" i="1">
                        <a:solidFill>
                          <a:srgbClr val="00206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it-IT" sz="1600" b="1" i="1">
                            <a:solidFill>
                              <a:srgbClr val="00206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600" b="1" i="1">
                            <a:solidFill>
                              <a:srgbClr val="00206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𝒅</m:t>
                        </m:r>
                      </m:e>
                      <m:sub>
                        <m:r>
                          <a:rPr lang="it-IT" sz="1600" b="1" i="1">
                            <a:solidFill>
                              <a:srgbClr val="00206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</m:t>
                        </m:r>
                        <m:r>
                          <a:rPr lang="it-IT" sz="1600" b="1" i="1">
                            <a:solidFill>
                              <a:srgbClr val="00206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𝑬</m:t>
                        </m:r>
                      </m:sub>
                    </m:sSub>
                  </m:oMath>
                </m:oMathPara>
              </a14:m>
              <a:endParaRPr lang="it-IT" sz="1100" b="1"/>
            </a:p>
          </xdr:txBody>
        </xdr:sp>
      </mc:Choice>
      <mc:Fallback xmlns="">
        <xdr:sp macro="" textlink="">
          <xdr:nvSpPr>
            <xdr:cNvPr id="150" name="CasellaDiTesto 149">
              <a:extLst>
                <a:ext uri="{FF2B5EF4-FFF2-40B4-BE49-F238E27FC236}">
                  <a16:creationId xmlns:a16="http://schemas.microsoft.com/office/drawing/2014/main" id="{1DAE78EF-A73E-4D08-A5E8-A7B62776906E}"/>
                </a:ext>
              </a:extLst>
            </xdr:cNvPr>
            <xdr:cNvSpPr txBox="1"/>
          </xdr:nvSpPr>
          <xdr:spPr>
            <a:xfrm>
              <a:off x="9645217" y="17427806"/>
              <a:ext cx="982650" cy="353769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rgbClr val="00206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:r>
                <a:rPr lang="it-IT" sz="1600" b="1" i="0">
                  <a:solidFill>
                    <a:srgbClr val="002060"/>
                  </a:solidFill>
                  <a:latin typeface="Cambria Math" panose="02040503050406030204" pitchFamily="18" charset="0"/>
                </a:rPr>
                <a:t>𝟏</a:t>
              </a:r>
              <a:r>
                <a:rPr lang="it-IT" sz="1600" b="1" i="0">
                  <a:solidFill>
                    <a:srgbClr val="00206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∙𝒅_𝟐𝑬</a:t>
              </a:r>
              <a:endParaRPr lang="it-IT" sz="1100" b="1"/>
            </a:p>
          </xdr:txBody>
        </xdr:sp>
      </mc:Fallback>
    </mc:AlternateContent>
    <xdr:clientData/>
  </xdr:twoCellAnchor>
  <xdr:twoCellAnchor>
    <xdr:from>
      <xdr:col>7</xdr:col>
      <xdr:colOff>307200</xdr:colOff>
      <xdr:row>111</xdr:row>
      <xdr:rowOff>79347</xdr:rowOff>
    </xdr:from>
    <xdr:to>
      <xdr:col>12</xdr:col>
      <xdr:colOff>927825</xdr:colOff>
      <xdr:row>115</xdr:row>
      <xdr:rowOff>7868</xdr:rowOff>
    </xdr:to>
    <xdr:cxnSp macro="">
      <xdr:nvCxnSpPr>
        <xdr:cNvPr id="152" name="Connettore 2 151">
          <a:extLst>
            <a:ext uri="{FF2B5EF4-FFF2-40B4-BE49-F238E27FC236}">
              <a16:creationId xmlns:a16="http://schemas.microsoft.com/office/drawing/2014/main" id="{D5627196-856F-4927-A2E0-301AC01EFB9B}"/>
            </a:ext>
          </a:extLst>
        </xdr:cNvPr>
        <xdr:cNvCxnSpPr>
          <a:cxnSpLocks/>
          <a:stCxn id="40" idx="6"/>
          <a:endCxn id="59" idx="3"/>
        </xdr:cNvCxnSpPr>
      </xdr:nvCxnSpPr>
      <xdr:spPr>
        <a:xfrm flipV="1">
          <a:off x="5984100" y="20739072"/>
          <a:ext cx="4744950" cy="652421"/>
        </a:xfrm>
        <a:prstGeom prst="straightConnector1">
          <a:avLst/>
        </a:prstGeom>
        <a:ln w="19050">
          <a:solidFill>
            <a:srgbClr val="00206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307200</xdr:colOff>
      <xdr:row>115</xdr:row>
      <xdr:rowOff>7868</xdr:rowOff>
    </xdr:from>
    <xdr:to>
      <xdr:col>12</xdr:col>
      <xdr:colOff>876300</xdr:colOff>
      <xdr:row>116</xdr:row>
      <xdr:rowOff>17393</xdr:rowOff>
    </xdr:to>
    <xdr:cxnSp macro="">
      <xdr:nvCxnSpPr>
        <xdr:cNvPr id="153" name="Connettore 2 152">
          <a:extLst>
            <a:ext uri="{FF2B5EF4-FFF2-40B4-BE49-F238E27FC236}">
              <a16:creationId xmlns:a16="http://schemas.microsoft.com/office/drawing/2014/main" id="{956AE69E-8F1A-48C9-9BBF-069FFB2854F6}"/>
            </a:ext>
          </a:extLst>
        </xdr:cNvPr>
        <xdr:cNvCxnSpPr>
          <a:cxnSpLocks/>
          <a:stCxn id="40" idx="6"/>
          <a:endCxn id="60" idx="2"/>
        </xdr:cNvCxnSpPr>
      </xdr:nvCxnSpPr>
      <xdr:spPr>
        <a:xfrm>
          <a:off x="5984100" y="21391493"/>
          <a:ext cx="4693425" cy="190500"/>
        </a:xfrm>
        <a:prstGeom prst="straightConnector1">
          <a:avLst/>
        </a:prstGeom>
        <a:ln w="19050">
          <a:solidFill>
            <a:srgbClr val="00206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307200</xdr:colOff>
      <xdr:row>115</xdr:row>
      <xdr:rowOff>7868</xdr:rowOff>
    </xdr:from>
    <xdr:to>
      <xdr:col>12</xdr:col>
      <xdr:colOff>552450</xdr:colOff>
      <xdr:row>122</xdr:row>
      <xdr:rowOff>84068</xdr:rowOff>
    </xdr:to>
    <xdr:cxnSp macro="">
      <xdr:nvCxnSpPr>
        <xdr:cNvPr id="154" name="Connettore 2 153">
          <a:extLst>
            <a:ext uri="{FF2B5EF4-FFF2-40B4-BE49-F238E27FC236}">
              <a16:creationId xmlns:a16="http://schemas.microsoft.com/office/drawing/2014/main" id="{A29906A9-899F-43EF-8E69-885FE1DEF15A}"/>
            </a:ext>
          </a:extLst>
        </xdr:cNvPr>
        <xdr:cNvCxnSpPr>
          <a:cxnSpLocks/>
          <a:stCxn id="40" idx="6"/>
          <a:endCxn id="61" idx="2"/>
        </xdr:cNvCxnSpPr>
      </xdr:nvCxnSpPr>
      <xdr:spPr>
        <a:xfrm>
          <a:off x="5984100" y="21391493"/>
          <a:ext cx="4369575" cy="1343025"/>
        </a:xfrm>
        <a:prstGeom prst="straightConnector1">
          <a:avLst/>
        </a:prstGeom>
        <a:ln w="19050">
          <a:solidFill>
            <a:srgbClr val="00206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307200</xdr:colOff>
      <xdr:row>115</xdr:row>
      <xdr:rowOff>7868</xdr:rowOff>
    </xdr:from>
    <xdr:to>
      <xdr:col>12</xdr:col>
      <xdr:colOff>289650</xdr:colOff>
      <xdr:row>127</xdr:row>
      <xdr:rowOff>88788</xdr:rowOff>
    </xdr:to>
    <xdr:cxnSp macro="">
      <xdr:nvCxnSpPr>
        <xdr:cNvPr id="156" name="Connettore 2 155">
          <a:extLst>
            <a:ext uri="{FF2B5EF4-FFF2-40B4-BE49-F238E27FC236}">
              <a16:creationId xmlns:a16="http://schemas.microsoft.com/office/drawing/2014/main" id="{F5B38764-A24C-415E-903A-D7E29176A7E6}"/>
            </a:ext>
          </a:extLst>
        </xdr:cNvPr>
        <xdr:cNvCxnSpPr>
          <a:cxnSpLocks/>
          <a:stCxn id="40" idx="6"/>
          <a:endCxn id="65" idx="1"/>
        </xdr:cNvCxnSpPr>
      </xdr:nvCxnSpPr>
      <xdr:spPr>
        <a:xfrm>
          <a:off x="5984100" y="21391493"/>
          <a:ext cx="4106775" cy="2252620"/>
        </a:xfrm>
        <a:prstGeom prst="straightConnector1">
          <a:avLst/>
        </a:prstGeom>
        <a:ln w="19050">
          <a:solidFill>
            <a:srgbClr val="00206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762951</xdr:colOff>
      <xdr:row>89</xdr:row>
      <xdr:rowOff>18099</xdr:rowOff>
    </xdr:from>
    <xdr:to>
      <xdr:col>12</xdr:col>
      <xdr:colOff>726757</xdr:colOff>
      <xdr:row>91</xdr:row>
      <xdr:rowOff>2859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2" name="CasellaDiTesto 181">
              <a:extLst>
                <a:ext uri="{FF2B5EF4-FFF2-40B4-BE49-F238E27FC236}">
                  <a16:creationId xmlns:a16="http://schemas.microsoft.com/office/drawing/2014/main" id="{441FBD7C-33C6-4897-B68C-E55B58094322}"/>
                </a:ext>
              </a:extLst>
            </xdr:cNvPr>
            <xdr:cNvSpPr txBox="1"/>
          </xdr:nvSpPr>
          <xdr:spPr>
            <a:xfrm rot="21402044">
              <a:off x="9630726" y="16696374"/>
              <a:ext cx="897256" cy="34671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rgbClr val="00206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it-IT" sz="1600" b="1" i="1">
                        <a:solidFill>
                          <a:srgbClr val="002060"/>
                        </a:solidFill>
                        <a:latin typeface="Cambria Math" panose="02040503050406030204" pitchFamily="18" charset="0"/>
                      </a:rPr>
                      <m:t>𝟏</m:t>
                    </m:r>
                    <m:r>
                      <a:rPr lang="it-IT" sz="1600" b="1" i="1">
                        <a:solidFill>
                          <a:srgbClr val="00206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it-IT" sz="1600" b="1" i="1">
                            <a:solidFill>
                              <a:srgbClr val="00206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600" b="1" i="1">
                            <a:solidFill>
                              <a:srgbClr val="00206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𝒅</m:t>
                        </m:r>
                      </m:e>
                      <m:sub>
                        <m:r>
                          <a:rPr lang="it-IT" sz="1600" b="1" i="1">
                            <a:solidFill>
                              <a:srgbClr val="00206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</m:t>
                        </m:r>
                        <m:r>
                          <a:rPr lang="it-IT" sz="1600" b="1" i="1">
                            <a:solidFill>
                              <a:srgbClr val="00206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𝑨</m:t>
                        </m:r>
                      </m:sub>
                    </m:sSub>
                  </m:oMath>
                </m:oMathPara>
              </a14:m>
              <a:endParaRPr lang="it-IT" sz="1100" b="1"/>
            </a:p>
          </xdr:txBody>
        </xdr:sp>
      </mc:Choice>
      <mc:Fallback xmlns="">
        <xdr:sp macro="" textlink="">
          <xdr:nvSpPr>
            <xdr:cNvPr id="182" name="CasellaDiTesto 181">
              <a:extLst>
                <a:ext uri="{FF2B5EF4-FFF2-40B4-BE49-F238E27FC236}">
                  <a16:creationId xmlns:a16="http://schemas.microsoft.com/office/drawing/2014/main" id="{441FBD7C-33C6-4897-B68C-E55B58094322}"/>
                </a:ext>
              </a:extLst>
            </xdr:cNvPr>
            <xdr:cNvSpPr txBox="1"/>
          </xdr:nvSpPr>
          <xdr:spPr>
            <a:xfrm rot="21402044">
              <a:off x="9630726" y="16696374"/>
              <a:ext cx="897256" cy="34671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rgbClr val="00206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:r>
                <a:rPr lang="it-IT" sz="1600" b="1" i="0">
                  <a:solidFill>
                    <a:srgbClr val="002060"/>
                  </a:solidFill>
                  <a:latin typeface="Cambria Math" panose="02040503050406030204" pitchFamily="18" charset="0"/>
                </a:rPr>
                <a:t>𝟏</a:t>
              </a:r>
              <a:r>
                <a:rPr lang="it-IT" sz="1600" b="1" i="0">
                  <a:solidFill>
                    <a:srgbClr val="00206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∙𝒅_𝟐𝑨</a:t>
              </a:r>
              <a:endParaRPr lang="it-IT" sz="1100" b="1"/>
            </a:p>
          </xdr:txBody>
        </xdr:sp>
      </mc:Fallback>
    </mc:AlternateContent>
    <xdr:clientData/>
  </xdr:twoCellAnchor>
  <xdr:twoCellAnchor>
    <xdr:from>
      <xdr:col>11</xdr:col>
      <xdr:colOff>210503</xdr:colOff>
      <xdr:row>111</xdr:row>
      <xdr:rowOff>27623</xdr:rowOff>
    </xdr:from>
    <xdr:to>
      <xdr:col>12</xdr:col>
      <xdr:colOff>174309</xdr:colOff>
      <xdr:row>113</xdr:row>
      <xdr:rowOff>12383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3" name="CasellaDiTesto 182">
              <a:extLst>
                <a:ext uri="{FF2B5EF4-FFF2-40B4-BE49-F238E27FC236}">
                  <a16:creationId xmlns:a16="http://schemas.microsoft.com/office/drawing/2014/main" id="{1AA28EF8-EA0A-472F-BCFE-132FD1D73ED1}"/>
                </a:ext>
              </a:extLst>
            </xdr:cNvPr>
            <xdr:cNvSpPr txBox="1"/>
          </xdr:nvSpPr>
          <xdr:spPr>
            <a:xfrm rot="20931794">
              <a:off x="9078278" y="20687348"/>
              <a:ext cx="897256" cy="34671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rgbClr val="00206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it-IT" sz="1600" b="1" i="1">
                        <a:solidFill>
                          <a:srgbClr val="002060"/>
                        </a:solidFill>
                        <a:latin typeface="Cambria Math" panose="02040503050406030204" pitchFamily="18" charset="0"/>
                      </a:rPr>
                      <m:t>𝟏</m:t>
                    </m:r>
                    <m:r>
                      <a:rPr lang="it-IT" sz="1600" b="1" i="1">
                        <a:solidFill>
                          <a:srgbClr val="00206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it-IT" sz="1600" b="1" i="1">
                            <a:solidFill>
                              <a:srgbClr val="00206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600" b="1" i="1">
                            <a:solidFill>
                              <a:srgbClr val="00206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𝒅</m:t>
                        </m:r>
                      </m:e>
                      <m:sub>
                        <m:r>
                          <a:rPr lang="it-IT" sz="1600" b="1" i="1">
                            <a:solidFill>
                              <a:srgbClr val="00206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</m:t>
                        </m:r>
                        <m:r>
                          <a:rPr lang="it-IT" sz="1600" b="1" i="1">
                            <a:solidFill>
                              <a:srgbClr val="00206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𝑩</m:t>
                        </m:r>
                      </m:sub>
                    </m:sSub>
                  </m:oMath>
                </m:oMathPara>
              </a14:m>
              <a:endParaRPr lang="it-IT" sz="1100" b="1"/>
            </a:p>
          </xdr:txBody>
        </xdr:sp>
      </mc:Choice>
      <mc:Fallback xmlns="">
        <xdr:sp macro="" textlink="">
          <xdr:nvSpPr>
            <xdr:cNvPr id="183" name="CasellaDiTesto 182">
              <a:extLst>
                <a:ext uri="{FF2B5EF4-FFF2-40B4-BE49-F238E27FC236}">
                  <a16:creationId xmlns:a16="http://schemas.microsoft.com/office/drawing/2014/main" id="{1AA28EF8-EA0A-472F-BCFE-132FD1D73ED1}"/>
                </a:ext>
              </a:extLst>
            </xdr:cNvPr>
            <xdr:cNvSpPr txBox="1"/>
          </xdr:nvSpPr>
          <xdr:spPr>
            <a:xfrm rot="20931794">
              <a:off x="9078278" y="20687348"/>
              <a:ext cx="897256" cy="34671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rgbClr val="00206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:r>
                <a:rPr lang="it-IT" sz="1600" b="1" i="0">
                  <a:solidFill>
                    <a:srgbClr val="002060"/>
                  </a:solidFill>
                  <a:latin typeface="Cambria Math" panose="02040503050406030204" pitchFamily="18" charset="0"/>
                </a:rPr>
                <a:t>𝟏</a:t>
              </a:r>
              <a:r>
                <a:rPr lang="it-IT" sz="1600" b="1" i="0">
                  <a:solidFill>
                    <a:srgbClr val="00206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∙𝒅_𝟐𝑩</a:t>
              </a:r>
              <a:endParaRPr lang="it-IT" sz="1100" b="1"/>
            </a:p>
          </xdr:txBody>
        </xdr:sp>
      </mc:Fallback>
    </mc:AlternateContent>
    <xdr:clientData/>
  </xdr:twoCellAnchor>
  <xdr:twoCellAnchor>
    <xdr:from>
      <xdr:col>11</xdr:col>
      <xdr:colOff>372429</xdr:colOff>
      <xdr:row>120</xdr:row>
      <xdr:rowOff>18099</xdr:rowOff>
    </xdr:from>
    <xdr:to>
      <xdr:col>12</xdr:col>
      <xdr:colOff>336235</xdr:colOff>
      <xdr:row>122</xdr:row>
      <xdr:rowOff>2859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5" name="CasellaDiTesto 184">
              <a:extLst>
                <a:ext uri="{FF2B5EF4-FFF2-40B4-BE49-F238E27FC236}">
                  <a16:creationId xmlns:a16="http://schemas.microsoft.com/office/drawing/2014/main" id="{0A6881F9-A173-4ABB-A777-4FDB8319834F}"/>
                </a:ext>
              </a:extLst>
            </xdr:cNvPr>
            <xdr:cNvSpPr txBox="1"/>
          </xdr:nvSpPr>
          <xdr:spPr>
            <a:xfrm rot="968043">
              <a:off x="9240204" y="22306599"/>
              <a:ext cx="897256" cy="34671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rgbClr val="00206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it-IT" sz="1600" b="1" i="1">
                        <a:solidFill>
                          <a:srgbClr val="002060"/>
                        </a:solidFill>
                        <a:latin typeface="Cambria Math" panose="02040503050406030204" pitchFamily="18" charset="0"/>
                      </a:rPr>
                      <m:t>𝟏</m:t>
                    </m:r>
                    <m:r>
                      <a:rPr lang="it-IT" sz="1600" b="1" i="1">
                        <a:solidFill>
                          <a:srgbClr val="00206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it-IT" sz="1600" b="1" i="1">
                            <a:solidFill>
                              <a:srgbClr val="00206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600" b="1" i="1">
                            <a:solidFill>
                              <a:srgbClr val="00206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𝒅</m:t>
                        </m:r>
                      </m:e>
                      <m:sub>
                        <m:r>
                          <a:rPr lang="it-IT" sz="1600" b="1" i="1">
                            <a:solidFill>
                              <a:srgbClr val="00206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</m:t>
                        </m:r>
                        <m:r>
                          <a:rPr lang="it-IT" sz="1600" b="1" i="1">
                            <a:solidFill>
                              <a:srgbClr val="00206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𝑫</m:t>
                        </m:r>
                      </m:sub>
                    </m:sSub>
                  </m:oMath>
                </m:oMathPara>
              </a14:m>
              <a:endParaRPr lang="it-IT" sz="1100" b="1"/>
            </a:p>
          </xdr:txBody>
        </xdr:sp>
      </mc:Choice>
      <mc:Fallback xmlns="">
        <xdr:sp macro="" textlink="">
          <xdr:nvSpPr>
            <xdr:cNvPr id="185" name="CasellaDiTesto 184">
              <a:extLst>
                <a:ext uri="{FF2B5EF4-FFF2-40B4-BE49-F238E27FC236}">
                  <a16:creationId xmlns:a16="http://schemas.microsoft.com/office/drawing/2014/main" id="{0A6881F9-A173-4ABB-A777-4FDB8319834F}"/>
                </a:ext>
              </a:extLst>
            </xdr:cNvPr>
            <xdr:cNvSpPr txBox="1"/>
          </xdr:nvSpPr>
          <xdr:spPr>
            <a:xfrm rot="968043">
              <a:off x="9240204" y="22306599"/>
              <a:ext cx="897256" cy="34671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rgbClr val="00206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:r>
                <a:rPr lang="it-IT" sz="1600" b="1" i="0">
                  <a:solidFill>
                    <a:srgbClr val="002060"/>
                  </a:solidFill>
                  <a:latin typeface="Cambria Math" panose="02040503050406030204" pitchFamily="18" charset="0"/>
                </a:rPr>
                <a:t>𝟏</a:t>
              </a:r>
              <a:r>
                <a:rPr lang="it-IT" sz="1600" b="1" i="0">
                  <a:solidFill>
                    <a:srgbClr val="00206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∙𝒅_𝟐𝑫</a:t>
              </a:r>
              <a:endParaRPr lang="it-IT" sz="1100" b="1"/>
            </a:p>
          </xdr:txBody>
        </xdr:sp>
      </mc:Fallback>
    </mc:AlternateContent>
    <xdr:clientData/>
  </xdr:twoCellAnchor>
  <xdr:twoCellAnchor>
    <xdr:from>
      <xdr:col>11</xdr:col>
      <xdr:colOff>86678</xdr:colOff>
      <xdr:row>124</xdr:row>
      <xdr:rowOff>84772</xdr:rowOff>
    </xdr:from>
    <xdr:to>
      <xdr:col>12</xdr:col>
      <xdr:colOff>50484</xdr:colOff>
      <xdr:row>126</xdr:row>
      <xdr:rowOff>69532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7" name="CasellaDiTesto 186">
              <a:extLst>
                <a:ext uri="{FF2B5EF4-FFF2-40B4-BE49-F238E27FC236}">
                  <a16:creationId xmlns:a16="http://schemas.microsoft.com/office/drawing/2014/main" id="{1B974670-DB59-4C6C-883B-CFDA4A663104}"/>
                </a:ext>
              </a:extLst>
            </xdr:cNvPr>
            <xdr:cNvSpPr txBox="1"/>
          </xdr:nvSpPr>
          <xdr:spPr>
            <a:xfrm rot="1807688">
              <a:off x="8954453" y="23097172"/>
              <a:ext cx="897256" cy="34671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rgbClr val="00206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it-IT" sz="1600" b="1" i="1">
                        <a:solidFill>
                          <a:srgbClr val="002060"/>
                        </a:solidFill>
                        <a:latin typeface="Cambria Math" panose="02040503050406030204" pitchFamily="18" charset="0"/>
                      </a:rPr>
                      <m:t>𝟏</m:t>
                    </m:r>
                    <m:r>
                      <a:rPr lang="it-IT" sz="1600" b="1" i="1">
                        <a:solidFill>
                          <a:srgbClr val="00206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it-IT" sz="1600" b="1" i="1">
                            <a:solidFill>
                              <a:srgbClr val="00206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600" b="1" i="1">
                            <a:solidFill>
                              <a:srgbClr val="00206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𝒅</m:t>
                        </m:r>
                      </m:e>
                      <m:sub>
                        <m:r>
                          <a:rPr lang="it-IT" sz="1600" b="1" i="1">
                            <a:solidFill>
                              <a:srgbClr val="00206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</m:t>
                        </m:r>
                        <m:r>
                          <a:rPr lang="it-IT" sz="1600" b="1" i="1">
                            <a:solidFill>
                              <a:srgbClr val="00206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𝑯</m:t>
                        </m:r>
                      </m:sub>
                    </m:sSub>
                  </m:oMath>
                </m:oMathPara>
              </a14:m>
              <a:endParaRPr lang="it-IT" sz="1100" b="1"/>
            </a:p>
          </xdr:txBody>
        </xdr:sp>
      </mc:Choice>
      <mc:Fallback xmlns="">
        <xdr:sp macro="" textlink="">
          <xdr:nvSpPr>
            <xdr:cNvPr id="187" name="CasellaDiTesto 186">
              <a:extLst>
                <a:ext uri="{FF2B5EF4-FFF2-40B4-BE49-F238E27FC236}">
                  <a16:creationId xmlns:a16="http://schemas.microsoft.com/office/drawing/2014/main" id="{1B974670-DB59-4C6C-883B-CFDA4A663104}"/>
                </a:ext>
              </a:extLst>
            </xdr:cNvPr>
            <xdr:cNvSpPr txBox="1"/>
          </xdr:nvSpPr>
          <xdr:spPr>
            <a:xfrm rot="1807688">
              <a:off x="8954453" y="23097172"/>
              <a:ext cx="897256" cy="34671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rgbClr val="00206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:r>
                <a:rPr lang="it-IT" sz="1600" b="1" i="0">
                  <a:solidFill>
                    <a:srgbClr val="002060"/>
                  </a:solidFill>
                  <a:latin typeface="Cambria Math" panose="02040503050406030204" pitchFamily="18" charset="0"/>
                </a:rPr>
                <a:t>𝟏</a:t>
              </a:r>
              <a:r>
                <a:rPr lang="it-IT" sz="1600" b="1" i="0">
                  <a:solidFill>
                    <a:srgbClr val="00206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∙𝒅_𝟐𝑯</a:t>
              </a:r>
              <a:endParaRPr lang="it-IT" sz="1100" b="1"/>
            </a:p>
          </xdr:txBody>
        </xdr:sp>
      </mc:Fallback>
    </mc:AlternateContent>
    <xdr:clientData/>
  </xdr:twoCellAnchor>
  <xdr:twoCellAnchor>
    <xdr:from>
      <xdr:col>11</xdr:col>
      <xdr:colOff>601029</xdr:colOff>
      <xdr:row>115</xdr:row>
      <xdr:rowOff>27624</xdr:rowOff>
    </xdr:from>
    <xdr:to>
      <xdr:col>12</xdr:col>
      <xdr:colOff>564835</xdr:colOff>
      <xdr:row>117</xdr:row>
      <xdr:rowOff>12384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8" name="CasellaDiTesto 187">
              <a:extLst>
                <a:ext uri="{FF2B5EF4-FFF2-40B4-BE49-F238E27FC236}">
                  <a16:creationId xmlns:a16="http://schemas.microsoft.com/office/drawing/2014/main" id="{1776754D-2EB3-405C-B1E3-756B1B6994B4}"/>
                </a:ext>
              </a:extLst>
            </xdr:cNvPr>
            <xdr:cNvSpPr txBox="1"/>
          </xdr:nvSpPr>
          <xdr:spPr>
            <a:xfrm>
              <a:off x="9468804" y="21411249"/>
              <a:ext cx="897256" cy="34671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rgbClr val="00206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it-IT" sz="1600" b="1" i="1">
                        <a:solidFill>
                          <a:srgbClr val="002060"/>
                        </a:solidFill>
                        <a:latin typeface="Cambria Math" panose="02040503050406030204" pitchFamily="18" charset="0"/>
                      </a:rPr>
                      <m:t>𝟏</m:t>
                    </m:r>
                    <m:r>
                      <a:rPr lang="it-IT" sz="1600" b="1" i="1">
                        <a:solidFill>
                          <a:srgbClr val="00206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it-IT" sz="1600" b="1" i="1">
                            <a:solidFill>
                              <a:srgbClr val="00206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600" b="1" i="1">
                            <a:solidFill>
                              <a:srgbClr val="00206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𝒅</m:t>
                        </m:r>
                      </m:e>
                      <m:sub>
                        <m:r>
                          <a:rPr lang="it-IT" sz="1600" b="1" i="1">
                            <a:solidFill>
                              <a:srgbClr val="00206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</m:t>
                        </m:r>
                        <m:r>
                          <a:rPr lang="it-IT" sz="1600" b="1" i="1">
                            <a:solidFill>
                              <a:srgbClr val="00206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𝑪</m:t>
                        </m:r>
                      </m:sub>
                    </m:sSub>
                  </m:oMath>
                </m:oMathPara>
              </a14:m>
              <a:endParaRPr lang="it-IT" sz="1100" b="1"/>
            </a:p>
          </xdr:txBody>
        </xdr:sp>
      </mc:Choice>
      <mc:Fallback xmlns="">
        <xdr:sp macro="" textlink="">
          <xdr:nvSpPr>
            <xdr:cNvPr id="188" name="CasellaDiTesto 187">
              <a:extLst>
                <a:ext uri="{FF2B5EF4-FFF2-40B4-BE49-F238E27FC236}">
                  <a16:creationId xmlns:a16="http://schemas.microsoft.com/office/drawing/2014/main" id="{1776754D-2EB3-405C-B1E3-756B1B6994B4}"/>
                </a:ext>
              </a:extLst>
            </xdr:cNvPr>
            <xdr:cNvSpPr txBox="1"/>
          </xdr:nvSpPr>
          <xdr:spPr>
            <a:xfrm>
              <a:off x="9468804" y="21411249"/>
              <a:ext cx="897256" cy="34671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rgbClr val="00206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:r>
                <a:rPr lang="it-IT" sz="1600" b="1" i="0">
                  <a:solidFill>
                    <a:srgbClr val="002060"/>
                  </a:solidFill>
                  <a:latin typeface="Cambria Math" panose="02040503050406030204" pitchFamily="18" charset="0"/>
                </a:rPr>
                <a:t>𝟏</a:t>
              </a:r>
              <a:r>
                <a:rPr lang="it-IT" sz="1600" b="1" i="0">
                  <a:solidFill>
                    <a:srgbClr val="00206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∙𝒅_𝟐𝑪</a:t>
              </a:r>
              <a:endParaRPr lang="it-IT" sz="1100" b="1"/>
            </a:p>
          </xdr:txBody>
        </xdr:sp>
      </mc:Fallback>
    </mc:AlternateContent>
    <xdr:clientData/>
  </xdr:twoCellAnchor>
  <xdr:twoCellAnchor>
    <xdr:from>
      <xdr:col>2</xdr:col>
      <xdr:colOff>101370</xdr:colOff>
      <xdr:row>95</xdr:row>
      <xdr:rowOff>131693</xdr:rowOff>
    </xdr:from>
    <xdr:to>
      <xdr:col>6</xdr:col>
      <xdr:colOff>238125</xdr:colOff>
      <xdr:row>103</xdr:row>
      <xdr:rowOff>8499</xdr:rowOff>
    </xdr:to>
    <xdr:cxnSp macro="">
      <xdr:nvCxnSpPr>
        <xdr:cNvPr id="85" name="Connettore 2 84">
          <a:extLst>
            <a:ext uri="{FF2B5EF4-FFF2-40B4-BE49-F238E27FC236}">
              <a16:creationId xmlns:a16="http://schemas.microsoft.com/office/drawing/2014/main" id="{B53077A1-304A-4685-AEB8-E06BD1900AFF}"/>
            </a:ext>
          </a:extLst>
        </xdr:cNvPr>
        <xdr:cNvCxnSpPr>
          <a:cxnSpLocks/>
          <a:stCxn id="39" idx="2"/>
          <a:endCxn id="54" idx="7"/>
        </xdr:cNvCxnSpPr>
      </xdr:nvCxnSpPr>
      <xdr:spPr>
        <a:xfrm flipH="1">
          <a:off x="1949220" y="17895818"/>
          <a:ext cx="3260955" cy="1324606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1343025</xdr:colOff>
      <xdr:row>88</xdr:row>
      <xdr:rowOff>76200</xdr:rowOff>
    </xdr:from>
    <xdr:to>
      <xdr:col>12</xdr:col>
      <xdr:colOff>1955025</xdr:colOff>
      <xdr:row>91</xdr:row>
      <xdr:rowOff>139560</xdr:rowOff>
    </xdr:to>
    <xdr:sp macro="" textlink="">
      <xdr:nvSpPr>
        <xdr:cNvPr id="103" name="Connettore 102">
          <a:extLst>
            <a:ext uri="{FF2B5EF4-FFF2-40B4-BE49-F238E27FC236}">
              <a16:creationId xmlns:a16="http://schemas.microsoft.com/office/drawing/2014/main" id="{9DA7C07A-0DE6-4095-A686-0758F8237D80}"/>
            </a:ext>
          </a:extLst>
        </xdr:cNvPr>
        <xdr:cNvSpPr/>
      </xdr:nvSpPr>
      <xdr:spPr>
        <a:xfrm>
          <a:off x="11144250" y="16573500"/>
          <a:ext cx="612000" cy="606285"/>
        </a:xfrm>
        <a:prstGeom prst="flowChartConnector">
          <a:avLst/>
        </a:prstGeom>
        <a:ln w="28575"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it-IT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</a:t>
          </a:r>
        </a:p>
      </xdr:txBody>
    </xdr:sp>
    <xdr:clientData/>
  </xdr:twoCellAnchor>
  <xdr:twoCellAnchor>
    <xdr:from>
      <xdr:col>7</xdr:col>
      <xdr:colOff>145275</xdr:colOff>
      <xdr:row>90</xdr:row>
      <xdr:rowOff>17393</xdr:rowOff>
    </xdr:from>
    <xdr:to>
      <xdr:col>12</xdr:col>
      <xdr:colOff>1343025</xdr:colOff>
      <xdr:row>95</xdr:row>
      <xdr:rowOff>131693</xdr:rowOff>
    </xdr:to>
    <xdr:cxnSp macro="">
      <xdr:nvCxnSpPr>
        <xdr:cNvPr id="105" name="Connettore 2 104">
          <a:extLst>
            <a:ext uri="{FF2B5EF4-FFF2-40B4-BE49-F238E27FC236}">
              <a16:creationId xmlns:a16="http://schemas.microsoft.com/office/drawing/2014/main" id="{005BE336-BCEB-4156-ABDA-30F4023C1A89}"/>
            </a:ext>
          </a:extLst>
        </xdr:cNvPr>
        <xdr:cNvCxnSpPr>
          <a:cxnSpLocks/>
          <a:stCxn id="39" idx="6"/>
          <a:endCxn id="103" idx="2"/>
        </xdr:cNvCxnSpPr>
      </xdr:nvCxnSpPr>
      <xdr:spPr>
        <a:xfrm flipV="1">
          <a:off x="5822175" y="16876643"/>
          <a:ext cx="5322075" cy="1019175"/>
        </a:xfrm>
        <a:prstGeom prst="straightConnector1">
          <a:avLst/>
        </a:prstGeom>
        <a:ln w="19050">
          <a:solidFill>
            <a:srgbClr val="00206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1428750</xdr:colOff>
      <xdr:row>98</xdr:row>
      <xdr:rowOff>133350</xdr:rowOff>
    </xdr:from>
    <xdr:to>
      <xdr:col>12</xdr:col>
      <xdr:colOff>2040750</xdr:colOff>
      <xdr:row>102</xdr:row>
      <xdr:rowOff>15735</xdr:rowOff>
    </xdr:to>
    <xdr:sp macro="" textlink="">
      <xdr:nvSpPr>
        <xdr:cNvPr id="107" name="Connettore 106">
          <a:extLst>
            <a:ext uri="{FF2B5EF4-FFF2-40B4-BE49-F238E27FC236}">
              <a16:creationId xmlns:a16="http://schemas.microsoft.com/office/drawing/2014/main" id="{39B1D593-BB65-471A-90F4-7E59DAF30A31}"/>
            </a:ext>
          </a:extLst>
        </xdr:cNvPr>
        <xdr:cNvSpPr/>
      </xdr:nvSpPr>
      <xdr:spPr>
        <a:xfrm>
          <a:off x="11229975" y="18440400"/>
          <a:ext cx="612000" cy="606285"/>
        </a:xfrm>
        <a:prstGeom prst="flowChartConnector">
          <a:avLst/>
        </a:prstGeom>
        <a:ln w="28575"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it-IT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F</a:t>
          </a:r>
        </a:p>
      </xdr:txBody>
    </xdr:sp>
    <xdr:clientData/>
  </xdr:twoCellAnchor>
  <xdr:twoCellAnchor>
    <xdr:from>
      <xdr:col>7</xdr:col>
      <xdr:colOff>145275</xdr:colOff>
      <xdr:row>95</xdr:row>
      <xdr:rowOff>131693</xdr:rowOff>
    </xdr:from>
    <xdr:to>
      <xdr:col>12</xdr:col>
      <xdr:colOff>1428750</xdr:colOff>
      <xdr:row>100</xdr:row>
      <xdr:rowOff>74543</xdr:rowOff>
    </xdr:to>
    <xdr:cxnSp macro="">
      <xdr:nvCxnSpPr>
        <xdr:cNvPr id="108" name="Connettore 2 107">
          <a:extLst>
            <a:ext uri="{FF2B5EF4-FFF2-40B4-BE49-F238E27FC236}">
              <a16:creationId xmlns:a16="http://schemas.microsoft.com/office/drawing/2014/main" id="{642E027F-1746-45DB-ABE7-85A917CB2FAB}"/>
            </a:ext>
          </a:extLst>
        </xdr:cNvPr>
        <xdr:cNvCxnSpPr>
          <a:cxnSpLocks/>
          <a:stCxn id="39" idx="6"/>
          <a:endCxn id="107" idx="2"/>
        </xdr:cNvCxnSpPr>
      </xdr:nvCxnSpPr>
      <xdr:spPr>
        <a:xfrm>
          <a:off x="5822175" y="17895818"/>
          <a:ext cx="5407800" cy="847725"/>
        </a:xfrm>
        <a:prstGeom prst="straightConnector1">
          <a:avLst/>
        </a:prstGeom>
        <a:ln w="19050">
          <a:solidFill>
            <a:srgbClr val="00206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142874</xdr:colOff>
      <xdr:row>98</xdr:row>
      <xdr:rowOff>85725</xdr:rowOff>
    </xdr:from>
    <xdr:to>
      <xdr:col>12</xdr:col>
      <xdr:colOff>1057276</xdr:colOff>
      <xdr:row>100</xdr:row>
      <xdr:rowOff>57149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1" name="CasellaDiTesto 110">
              <a:extLst>
                <a:ext uri="{FF2B5EF4-FFF2-40B4-BE49-F238E27FC236}">
                  <a16:creationId xmlns:a16="http://schemas.microsoft.com/office/drawing/2014/main" id="{2AA7BAAF-C2EB-4A25-B503-248239614495}"/>
                </a:ext>
              </a:extLst>
            </xdr:cNvPr>
            <xdr:cNvSpPr txBox="1"/>
          </xdr:nvSpPr>
          <xdr:spPr>
            <a:xfrm rot="11436726" flipV="1">
              <a:off x="9944099" y="18392775"/>
              <a:ext cx="914402" cy="33337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rgbClr val="00206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it-IT" sz="1600" b="1" i="1">
                        <a:solidFill>
                          <a:srgbClr val="002060"/>
                        </a:solidFill>
                        <a:latin typeface="Cambria Math" panose="02040503050406030204" pitchFamily="18" charset="0"/>
                      </a:rPr>
                      <m:t>𝟏</m:t>
                    </m:r>
                    <m:r>
                      <a:rPr lang="it-IT" sz="1600" b="1" i="1">
                        <a:solidFill>
                          <a:srgbClr val="00206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it-IT" sz="1600" b="1" i="1">
                            <a:solidFill>
                              <a:srgbClr val="00206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600" b="1" i="1">
                            <a:solidFill>
                              <a:srgbClr val="00206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𝒅</m:t>
                        </m:r>
                      </m:e>
                      <m:sub>
                        <m:r>
                          <a:rPr lang="it-IT" sz="1600" b="1" i="1">
                            <a:solidFill>
                              <a:srgbClr val="00206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</m:t>
                        </m:r>
                        <m:r>
                          <a:rPr lang="it-IT" sz="1600" b="1" i="1">
                            <a:solidFill>
                              <a:srgbClr val="00206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𝑭</m:t>
                        </m:r>
                      </m:sub>
                    </m:sSub>
                  </m:oMath>
                </m:oMathPara>
              </a14:m>
              <a:endParaRPr lang="it-IT" sz="1100" b="1"/>
            </a:p>
          </xdr:txBody>
        </xdr:sp>
      </mc:Choice>
      <mc:Fallback xmlns="">
        <xdr:sp macro="" textlink="">
          <xdr:nvSpPr>
            <xdr:cNvPr id="111" name="CasellaDiTesto 110">
              <a:extLst>
                <a:ext uri="{FF2B5EF4-FFF2-40B4-BE49-F238E27FC236}">
                  <a16:creationId xmlns:a16="http://schemas.microsoft.com/office/drawing/2014/main" id="{2AA7BAAF-C2EB-4A25-B503-248239614495}"/>
                </a:ext>
              </a:extLst>
            </xdr:cNvPr>
            <xdr:cNvSpPr txBox="1"/>
          </xdr:nvSpPr>
          <xdr:spPr>
            <a:xfrm rot="11436726" flipV="1">
              <a:off x="9944099" y="18392775"/>
              <a:ext cx="914402" cy="33337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rgbClr val="00206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:r>
                <a:rPr lang="it-IT" sz="1600" b="1" i="0">
                  <a:solidFill>
                    <a:srgbClr val="002060"/>
                  </a:solidFill>
                  <a:latin typeface="Cambria Math" panose="02040503050406030204" pitchFamily="18" charset="0"/>
                </a:rPr>
                <a:t>𝟏</a:t>
              </a:r>
              <a:r>
                <a:rPr lang="it-IT" sz="1600" b="1" i="0">
                  <a:solidFill>
                    <a:srgbClr val="00206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∙𝒅_𝟐𝑭</a:t>
              </a:r>
              <a:endParaRPr lang="it-IT" sz="1100" b="1"/>
            </a:p>
          </xdr:txBody>
        </xdr:sp>
      </mc:Fallback>
    </mc:AlternateContent>
    <xdr:clientData/>
  </xdr:twoCellAnchor>
  <xdr:twoCellAnchor>
    <xdr:from>
      <xdr:col>12</xdr:col>
      <xdr:colOff>1323975</xdr:colOff>
      <xdr:row>103</xdr:row>
      <xdr:rowOff>19050</xdr:rowOff>
    </xdr:from>
    <xdr:to>
      <xdr:col>12</xdr:col>
      <xdr:colOff>1935975</xdr:colOff>
      <xdr:row>106</xdr:row>
      <xdr:rowOff>82410</xdr:rowOff>
    </xdr:to>
    <xdr:sp macro="" textlink="">
      <xdr:nvSpPr>
        <xdr:cNvPr id="112" name="Connettore 111">
          <a:extLst>
            <a:ext uri="{FF2B5EF4-FFF2-40B4-BE49-F238E27FC236}">
              <a16:creationId xmlns:a16="http://schemas.microsoft.com/office/drawing/2014/main" id="{6CFC4012-6E35-43DD-BE53-6D620FF250EC}"/>
            </a:ext>
          </a:extLst>
        </xdr:cNvPr>
        <xdr:cNvSpPr/>
      </xdr:nvSpPr>
      <xdr:spPr>
        <a:xfrm>
          <a:off x="11125200" y="19230975"/>
          <a:ext cx="612000" cy="606285"/>
        </a:xfrm>
        <a:prstGeom prst="flowChartConnector">
          <a:avLst/>
        </a:prstGeom>
        <a:ln w="28575"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it-IT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G</a:t>
          </a:r>
        </a:p>
      </xdr:txBody>
    </xdr:sp>
    <xdr:clientData/>
  </xdr:twoCellAnchor>
  <xdr:twoCellAnchor>
    <xdr:from>
      <xdr:col>7</xdr:col>
      <xdr:colOff>145275</xdr:colOff>
      <xdr:row>95</xdr:row>
      <xdr:rowOff>131693</xdr:rowOff>
    </xdr:from>
    <xdr:to>
      <xdr:col>12</xdr:col>
      <xdr:colOff>1391850</xdr:colOff>
      <xdr:row>104</xdr:row>
      <xdr:rowOff>57150</xdr:rowOff>
    </xdr:to>
    <xdr:cxnSp macro="">
      <xdr:nvCxnSpPr>
        <xdr:cNvPr id="118" name="Connettore 2 117">
          <a:extLst>
            <a:ext uri="{FF2B5EF4-FFF2-40B4-BE49-F238E27FC236}">
              <a16:creationId xmlns:a16="http://schemas.microsoft.com/office/drawing/2014/main" id="{F34D7ECF-B994-4452-8AA1-FBE7D1278A91}"/>
            </a:ext>
          </a:extLst>
        </xdr:cNvPr>
        <xdr:cNvCxnSpPr>
          <a:cxnSpLocks/>
          <a:stCxn id="39" idx="6"/>
        </xdr:cNvCxnSpPr>
      </xdr:nvCxnSpPr>
      <xdr:spPr>
        <a:xfrm>
          <a:off x="5822175" y="17895818"/>
          <a:ext cx="5370900" cy="1554232"/>
        </a:xfrm>
        <a:prstGeom prst="straightConnector1">
          <a:avLst/>
        </a:prstGeom>
        <a:ln w="19050">
          <a:solidFill>
            <a:srgbClr val="00206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847725</xdr:colOff>
      <xdr:row>101</xdr:row>
      <xdr:rowOff>114301</xdr:rowOff>
    </xdr:from>
    <xdr:to>
      <xdr:col>12</xdr:col>
      <xdr:colOff>811531</xdr:colOff>
      <xdr:row>103</xdr:row>
      <xdr:rowOff>99061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0" name="CasellaDiTesto 119">
              <a:extLst>
                <a:ext uri="{FF2B5EF4-FFF2-40B4-BE49-F238E27FC236}">
                  <a16:creationId xmlns:a16="http://schemas.microsoft.com/office/drawing/2014/main" id="{B3CA1365-5CDB-4A3F-A929-39D21777D142}"/>
                </a:ext>
              </a:extLst>
            </xdr:cNvPr>
            <xdr:cNvSpPr txBox="1"/>
          </xdr:nvSpPr>
          <xdr:spPr>
            <a:xfrm rot="1006096">
              <a:off x="9715500" y="18964276"/>
              <a:ext cx="897256" cy="34671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rgbClr val="00206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it-IT" sz="1600" b="1" i="1">
                        <a:solidFill>
                          <a:srgbClr val="002060"/>
                        </a:solidFill>
                        <a:latin typeface="Cambria Math" panose="02040503050406030204" pitchFamily="18" charset="0"/>
                      </a:rPr>
                      <m:t>𝟏</m:t>
                    </m:r>
                    <m:r>
                      <a:rPr lang="it-IT" sz="1600" b="1" i="1">
                        <a:solidFill>
                          <a:srgbClr val="00206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it-IT" sz="1600" b="1" i="1">
                            <a:solidFill>
                              <a:srgbClr val="00206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600" b="1" i="1">
                            <a:solidFill>
                              <a:srgbClr val="00206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𝒅</m:t>
                        </m:r>
                      </m:e>
                      <m:sub>
                        <m:r>
                          <a:rPr lang="it-IT" sz="1600" b="1" i="1">
                            <a:solidFill>
                              <a:srgbClr val="00206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</m:t>
                        </m:r>
                        <m:r>
                          <a:rPr lang="it-IT" sz="1600" b="1" i="1">
                            <a:solidFill>
                              <a:srgbClr val="00206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𝑮</m:t>
                        </m:r>
                      </m:sub>
                    </m:sSub>
                  </m:oMath>
                </m:oMathPara>
              </a14:m>
              <a:endParaRPr lang="it-IT" sz="1100" b="1"/>
            </a:p>
          </xdr:txBody>
        </xdr:sp>
      </mc:Choice>
      <mc:Fallback xmlns="">
        <xdr:sp macro="" textlink="">
          <xdr:nvSpPr>
            <xdr:cNvPr id="120" name="CasellaDiTesto 119">
              <a:extLst>
                <a:ext uri="{FF2B5EF4-FFF2-40B4-BE49-F238E27FC236}">
                  <a16:creationId xmlns:a16="http://schemas.microsoft.com/office/drawing/2014/main" id="{B3CA1365-5CDB-4A3F-A929-39D21777D142}"/>
                </a:ext>
              </a:extLst>
            </xdr:cNvPr>
            <xdr:cNvSpPr txBox="1"/>
          </xdr:nvSpPr>
          <xdr:spPr>
            <a:xfrm rot="1006096">
              <a:off x="9715500" y="18964276"/>
              <a:ext cx="897256" cy="34671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rgbClr val="00206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:r>
                <a:rPr lang="it-IT" sz="1600" b="1" i="0">
                  <a:solidFill>
                    <a:srgbClr val="002060"/>
                  </a:solidFill>
                  <a:latin typeface="Cambria Math" panose="02040503050406030204" pitchFamily="18" charset="0"/>
                </a:rPr>
                <a:t>𝟏</a:t>
              </a:r>
              <a:r>
                <a:rPr lang="it-IT" sz="1600" b="1" i="0">
                  <a:solidFill>
                    <a:srgbClr val="00206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∙𝒅_𝟐𝑮</a:t>
              </a:r>
              <a:endParaRPr lang="it-IT" sz="1100" b="1"/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T334"/>
  <sheetViews>
    <sheetView tabSelected="1" topLeftCell="A8" zoomScale="80" zoomScaleNormal="80" workbookViewId="0">
      <selection activeCell="Q23" sqref="Q23"/>
    </sheetView>
  </sheetViews>
  <sheetFormatPr defaultRowHeight="14.4" x14ac:dyDescent="0.3"/>
  <cols>
    <col min="1" max="1" width="15.5546875" customWidth="1"/>
    <col min="2" max="6" width="11.44140625" bestFit="1" customWidth="1"/>
    <col min="7" max="7" width="10.33203125" customWidth="1"/>
    <col min="8" max="9" width="11.21875" customWidth="1"/>
    <col min="10" max="10" width="10.77734375" customWidth="1"/>
    <col min="11" max="11" width="13.21875" bestFit="1" customWidth="1"/>
    <col min="12" max="12" width="13.5546875" bestFit="1" customWidth="1"/>
    <col min="13" max="13" width="30.77734375" customWidth="1"/>
    <col min="14" max="14" width="17.33203125" customWidth="1"/>
    <col min="15" max="15" width="12.109375" customWidth="1"/>
    <col min="16" max="16" width="12.44140625" bestFit="1" customWidth="1"/>
    <col min="17" max="17" width="22" customWidth="1"/>
  </cols>
  <sheetData>
    <row r="1" spans="1:20" ht="15" thickBot="1" x14ac:dyDescent="0.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15" thickBot="1" x14ac:dyDescent="0.35">
      <c r="A2" s="1"/>
      <c r="B2" s="5"/>
      <c r="C2" s="19" t="s">
        <v>0</v>
      </c>
      <c r="D2" s="19" t="s">
        <v>1</v>
      </c>
      <c r="E2" s="19" t="s">
        <v>2</v>
      </c>
      <c r="F2" s="19" t="s">
        <v>3</v>
      </c>
      <c r="G2" s="19" t="s">
        <v>4</v>
      </c>
      <c r="H2" s="19" t="s">
        <v>5</v>
      </c>
      <c r="I2" s="19" t="s">
        <v>6</v>
      </c>
      <c r="J2" s="20" t="s">
        <v>7</v>
      </c>
      <c r="K2" s="1"/>
      <c r="L2" s="1"/>
      <c r="M2" s="2" t="s">
        <v>8</v>
      </c>
      <c r="N2" s="1">
        <v>300</v>
      </c>
      <c r="O2" s="1"/>
      <c r="P2" s="1"/>
      <c r="Q2" s="1"/>
      <c r="R2" s="1"/>
      <c r="S2" s="1"/>
      <c r="T2" s="1"/>
    </row>
    <row r="3" spans="1:20" x14ac:dyDescent="0.3">
      <c r="A3" s="1"/>
      <c r="B3" s="22" t="s">
        <v>0</v>
      </c>
      <c r="C3" s="5">
        <v>0</v>
      </c>
      <c r="D3" s="5">
        <v>27</v>
      </c>
      <c r="E3" s="5">
        <v>50</v>
      </c>
      <c r="F3" s="5">
        <v>79</v>
      </c>
      <c r="G3" s="5">
        <v>15</v>
      </c>
      <c r="H3" s="5">
        <v>58</v>
      </c>
      <c r="I3" s="5">
        <v>36</v>
      </c>
      <c r="J3" s="6">
        <v>45</v>
      </c>
      <c r="K3" s="1"/>
      <c r="L3" s="1"/>
      <c r="M3" s="1"/>
      <c r="N3" s="1"/>
      <c r="O3" s="1"/>
      <c r="P3" s="1"/>
      <c r="Q3" s="1"/>
      <c r="R3" s="1"/>
      <c r="S3" s="1"/>
      <c r="T3" s="1"/>
    </row>
    <row r="4" spans="1:20" x14ac:dyDescent="0.3">
      <c r="A4" s="1"/>
      <c r="B4" s="22" t="s">
        <v>1</v>
      </c>
      <c r="C4" s="5" cm="1">
        <f t="array" ref="C4:C7">TRANSPOSE(D3:G3)</f>
        <v>27</v>
      </c>
      <c r="D4" s="5">
        <v>0</v>
      </c>
      <c r="E4" s="5">
        <v>26</v>
      </c>
      <c r="F4" s="5">
        <v>46</v>
      </c>
      <c r="G4" s="5">
        <v>21</v>
      </c>
      <c r="H4" s="5">
        <v>53</v>
      </c>
      <c r="I4" s="5">
        <v>33</v>
      </c>
      <c r="J4" s="6">
        <v>38</v>
      </c>
      <c r="K4" s="1"/>
      <c r="L4" s="1"/>
      <c r="M4" s="2" t="s">
        <v>10</v>
      </c>
      <c r="N4" s="1">
        <v>5</v>
      </c>
      <c r="O4" s="1"/>
      <c r="P4" s="1"/>
      <c r="Q4" s="1"/>
      <c r="R4" s="1"/>
      <c r="S4" s="1"/>
      <c r="T4" s="1"/>
    </row>
    <row r="5" spans="1:20" x14ac:dyDescent="0.3">
      <c r="A5" s="1"/>
      <c r="B5" s="22" t="s">
        <v>2</v>
      </c>
      <c r="C5" s="5">
        <v>50</v>
      </c>
      <c r="D5" s="5" cm="1">
        <f t="array" ref="D5:D7">TRANSPOSE(E4:G4)</f>
        <v>26</v>
      </c>
      <c r="E5" s="5">
        <v>0</v>
      </c>
      <c r="F5" s="5">
        <v>68</v>
      </c>
      <c r="G5" s="5">
        <v>60</v>
      </c>
      <c r="H5" s="5">
        <v>14</v>
      </c>
      <c r="I5" s="5">
        <v>75</v>
      </c>
      <c r="J5" s="6">
        <v>56</v>
      </c>
      <c r="K5" s="1"/>
      <c r="L5" s="1"/>
      <c r="M5" s="2" t="s">
        <v>9</v>
      </c>
      <c r="N5" s="1">
        <v>8</v>
      </c>
      <c r="O5" s="1"/>
      <c r="P5" s="1"/>
      <c r="Q5" s="1"/>
      <c r="R5" s="1"/>
      <c r="S5" s="1"/>
      <c r="T5" s="1"/>
    </row>
    <row r="6" spans="1:20" x14ac:dyDescent="0.3">
      <c r="A6" s="1"/>
      <c r="B6" s="22" t="s">
        <v>3</v>
      </c>
      <c r="C6" s="5">
        <v>79</v>
      </c>
      <c r="D6" s="5">
        <v>46</v>
      </c>
      <c r="E6" s="5" cm="1">
        <f t="array" ref="E6:E7">TRANSPOSE(F5:G5)</f>
        <v>68</v>
      </c>
      <c r="F6" s="5">
        <v>0</v>
      </c>
      <c r="G6" s="5">
        <v>56</v>
      </c>
      <c r="H6" s="5">
        <v>93</v>
      </c>
      <c r="I6" s="5">
        <v>26</v>
      </c>
      <c r="J6" s="6">
        <v>44</v>
      </c>
      <c r="K6" s="1"/>
      <c r="L6" s="1"/>
      <c r="M6" s="1"/>
      <c r="N6" s="1"/>
      <c r="O6" s="1"/>
      <c r="P6" s="1"/>
      <c r="Q6" s="1"/>
      <c r="R6" s="1"/>
      <c r="S6" s="1"/>
      <c r="T6" s="1"/>
    </row>
    <row r="7" spans="1:20" ht="15" thickBot="1" x14ac:dyDescent="0.35">
      <c r="A7" s="1"/>
      <c r="B7" s="21" t="s">
        <v>4</v>
      </c>
      <c r="C7" s="7">
        <v>15</v>
      </c>
      <c r="D7" s="7">
        <v>21</v>
      </c>
      <c r="E7" s="7">
        <v>60</v>
      </c>
      <c r="F7" s="7">
        <f>G6</f>
        <v>56</v>
      </c>
      <c r="G7" s="7">
        <v>0</v>
      </c>
      <c r="H7" s="7">
        <v>38</v>
      </c>
      <c r="I7" s="7">
        <v>25</v>
      </c>
      <c r="J7" s="8">
        <v>56</v>
      </c>
      <c r="K7" s="1"/>
      <c r="L7" s="1"/>
      <c r="M7" s="1"/>
      <c r="N7" s="1"/>
      <c r="O7" s="1"/>
      <c r="P7" s="1"/>
      <c r="Q7" s="1"/>
      <c r="R7" s="1"/>
      <c r="S7" s="1"/>
      <c r="T7" s="1"/>
    </row>
    <row r="8" spans="1:20" x14ac:dyDescent="0.3">
      <c r="A8" s="1"/>
      <c r="B8" s="23"/>
      <c r="C8" s="5"/>
      <c r="D8" s="5"/>
      <c r="E8" s="5"/>
      <c r="K8" s="1"/>
      <c r="L8" s="1"/>
      <c r="M8" s="2" t="s">
        <v>13</v>
      </c>
      <c r="N8" s="1">
        <v>2</v>
      </c>
      <c r="O8" s="1"/>
      <c r="P8" s="1"/>
      <c r="Q8" s="1"/>
      <c r="R8" s="1"/>
      <c r="S8" s="1"/>
      <c r="T8" s="1"/>
    </row>
    <row r="9" spans="1:20" ht="38.4" customHeight="1" x14ac:dyDescent="0.3">
      <c r="I9" s="60">
        <f>SUM(B52:I53)</f>
        <v>87.90000000000002</v>
      </c>
      <c r="J9" s="61" t="s">
        <v>18</v>
      </c>
      <c r="K9" s="60">
        <f>SUM(B44:F44)</f>
        <v>261</v>
      </c>
      <c r="M9" s="1"/>
      <c r="N9" s="3">
        <v>0.3</v>
      </c>
      <c r="O9" s="1"/>
      <c r="P9" s="1"/>
      <c r="Q9" s="1"/>
      <c r="R9" s="1"/>
      <c r="S9" s="1"/>
      <c r="T9" s="1"/>
    </row>
    <row r="10" spans="1:20" ht="15" thickBot="1" x14ac:dyDescent="0.35">
      <c r="B10" s="1"/>
      <c r="C10" s="1"/>
      <c r="D10" s="1"/>
      <c r="E10" s="1"/>
      <c r="F10" s="1"/>
      <c r="G10" s="1"/>
      <c r="H10" s="1"/>
      <c r="I10" s="1"/>
      <c r="J10" s="1"/>
      <c r="K10" s="1"/>
      <c r="M10" s="1"/>
      <c r="N10" s="1"/>
      <c r="O10" s="1"/>
      <c r="P10" s="1"/>
      <c r="Q10" s="1"/>
      <c r="R10" s="1"/>
      <c r="S10" s="1"/>
      <c r="T10" s="1"/>
    </row>
    <row r="11" spans="1:20" ht="15" thickBot="1" x14ac:dyDescent="0.35">
      <c r="C11" s="5"/>
      <c r="D11" s="37" t="s">
        <v>0</v>
      </c>
      <c r="E11" s="37" t="s">
        <v>1</v>
      </c>
      <c r="F11" s="37" t="s">
        <v>2</v>
      </c>
      <c r="G11" s="37" t="s">
        <v>3</v>
      </c>
      <c r="H11" s="37" t="s">
        <v>4</v>
      </c>
      <c r="I11" s="37" t="s">
        <v>5</v>
      </c>
      <c r="J11" s="37" t="s">
        <v>6</v>
      </c>
      <c r="K11" s="38" t="s">
        <v>7</v>
      </c>
      <c r="M11" s="1"/>
      <c r="N11" s="1"/>
      <c r="O11" s="1"/>
      <c r="P11" s="1"/>
      <c r="Q11" s="1"/>
      <c r="R11" s="1"/>
      <c r="S11" s="1"/>
      <c r="T11" s="1"/>
    </row>
    <row r="12" spans="1:20" x14ac:dyDescent="0.3">
      <c r="C12" s="35" t="s">
        <v>0</v>
      </c>
      <c r="D12" s="32">
        <f>C3*$B$52*$N$9</f>
        <v>0</v>
      </c>
      <c r="E12" s="33">
        <f>D3*$C$52*$N$9</f>
        <v>49.41</v>
      </c>
      <c r="F12" s="33">
        <f>E3*$D$52*$N$9</f>
        <v>72</v>
      </c>
      <c r="G12" s="33">
        <f>F3*$E$52*$N$9</f>
        <v>173.00999999999996</v>
      </c>
      <c r="H12" s="33">
        <f>G3*$F$52*$N$9</f>
        <v>24.75</v>
      </c>
      <c r="I12" s="33">
        <f>H3*$G$52*$N$9</f>
        <v>69.599999999999994</v>
      </c>
      <c r="J12" s="33">
        <f>I3*$H$52*$N$9</f>
        <v>86.399999999999991</v>
      </c>
      <c r="K12" s="39">
        <f>J3*$I$52*$N$9</f>
        <v>82.35</v>
      </c>
      <c r="M12" s="2" t="s">
        <v>32</v>
      </c>
      <c r="N12" s="1">
        <f>SUM(H29:L29)</f>
        <v>2</v>
      </c>
      <c r="O12" s="1"/>
      <c r="P12" s="1"/>
      <c r="Q12" s="1"/>
      <c r="R12" s="1"/>
      <c r="S12" s="1"/>
      <c r="T12" s="1"/>
    </row>
    <row r="13" spans="1:20" x14ac:dyDescent="0.3">
      <c r="C13" s="35" t="s">
        <v>1</v>
      </c>
      <c r="D13" s="40">
        <f>C4*$B$52*$N$9</f>
        <v>76.95</v>
      </c>
      <c r="E13" s="31">
        <f>D4*$C$52*$N$9</f>
        <v>0</v>
      </c>
      <c r="F13" s="31">
        <f>E4*$D$52*$N$9</f>
        <v>37.44</v>
      </c>
      <c r="G13" s="31">
        <f>F4*$E$52*$N$9</f>
        <v>100.74</v>
      </c>
      <c r="H13" s="31">
        <f>G4*$F$52*$N$9</f>
        <v>34.65</v>
      </c>
      <c r="I13" s="31">
        <f>H4*$G$52*$N$9</f>
        <v>63.599999999999994</v>
      </c>
      <c r="J13" s="31">
        <f t="shared" ref="J13:J16" si="0">I4*$H$52*$N$9</f>
        <v>79.2</v>
      </c>
      <c r="K13" s="34">
        <f t="shared" ref="K13:K15" si="1">J4*$I$52*$N$9</f>
        <v>69.539999999999992</v>
      </c>
      <c r="M13" s="1"/>
      <c r="N13" s="1"/>
      <c r="O13" s="1"/>
      <c r="P13" s="1"/>
      <c r="Q13" s="1"/>
      <c r="R13" s="1"/>
      <c r="S13" s="1"/>
      <c r="T13" s="1"/>
    </row>
    <row r="14" spans="1:20" x14ac:dyDescent="0.3">
      <c r="C14" s="35" t="s">
        <v>2</v>
      </c>
      <c r="D14" s="40">
        <f>C5*$B$52*$N$9</f>
        <v>142.5</v>
      </c>
      <c r="E14" s="31">
        <f>D5*$C$52*$N$9</f>
        <v>47.58</v>
      </c>
      <c r="F14" s="31">
        <f>E5*$D$52*$N$9</f>
        <v>0</v>
      </c>
      <c r="G14" s="31">
        <f>F5*$E$52*$N$9</f>
        <v>148.91999999999999</v>
      </c>
      <c r="H14" s="31">
        <f>G5*$F$52*$N$9</f>
        <v>99</v>
      </c>
      <c r="I14" s="31">
        <f>H5*$G$52*$N$9</f>
        <v>16.8</v>
      </c>
      <c r="J14" s="31">
        <f t="shared" si="0"/>
        <v>180</v>
      </c>
      <c r="K14" s="34">
        <f t="shared" si="1"/>
        <v>102.47999999999999</v>
      </c>
      <c r="O14" s="2" t="s">
        <v>33</v>
      </c>
      <c r="P14" s="1"/>
      <c r="Q14" s="1"/>
      <c r="R14" s="1"/>
      <c r="S14" s="1"/>
      <c r="T14" s="1"/>
    </row>
    <row r="15" spans="1:20" x14ac:dyDescent="0.3">
      <c r="C15" s="35" t="s">
        <v>3</v>
      </c>
      <c r="D15" s="40">
        <f>C6*$B$52*$N$9</f>
        <v>225.15</v>
      </c>
      <c r="E15" s="31">
        <f>D6*$C$52*$N$9</f>
        <v>84.179999999999993</v>
      </c>
      <c r="F15" s="31">
        <f>E6*$D$52*$N$9</f>
        <v>97.919999999999987</v>
      </c>
      <c r="G15" s="31">
        <f>F6*$E$52*$N$9</f>
        <v>0</v>
      </c>
      <c r="H15" s="31">
        <f>G6*$F$52*$N$9</f>
        <v>92.399999999999991</v>
      </c>
      <c r="I15" s="31">
        <f>H6*$G$52*$N$9</f>
        <v>111.6</v>
      </c>
      <c r="J15" s="31">
        <f t="shared" si="0"/>
        <v>62.4</v>
      </c>
      <c r="K15" s="34">
        <f t="shared" si="1"/>
        <v>80.52</v>
      </c>
      <c r="M15" s="29" t="s">
        <v>14</v>
      </c>
      <c r="N15" s="28">
        <f>SUMPRODUCT(B38:F38,H29:L29)</f>
        <v>983.33333333333326</v>
      </c>
      <c r="O15" s="48">
        <f>N15/$N$20</f>
        <v>0.602889783572786</v>
      </c>
      <c r="P15" s="1"/>
      <c r="Q15" s="1"/>
      <c r="R15" s="1"/>
      <c r="S15" s="1"/>
      <c r="T15" s="1"/>
    </row>
    <row r="16" spans="1:20" ht="15" thickBot="1" x14ac:dyDescent="0.35">
      <c r="C16" s="36" t="s">
        <v>4</v>
      </c>
      <c r="D16" s="41">
        <f>C7*$B$52*$N$9</f>
        <v>42.75</v>
      </c>
      <c r="E16" s="42">
        <f>D7*$C$52*$N$9</f>
        <v>38.43</v>
      </c>
      <c r="F16" s="42">
        <f>E7*$D$52*$N$9</f>
        <v>86.399999999999991</v>
      </c>
      <c r="G16" s="42">
        <f>F7*$E$52*$N$9</f>
        <v>122.64</v>
      </c>
      <c r="H16" s="42">
        <f>G7*$F$52*$N$9</f>
        <v>0</v>
      </c>
      <c r="I16" s="42">
        <f>H7*$G$52*$N$9</f>
        <v>45.6</v>
      </c>
      <c r="J16" s="42">
        <f t="shared" si="0"/>
        <v>60</v>
      </c>
      <c r="K16" s="43">
        <f>J7*$I$52*$N$9</f>
        <v>102.47999999999999</v>
      </c>
      <c r="M16" s="29" t="s">
        <v>15</v>
      </c>
      <c r="N16" s="28">
        <f>SUMPRODUCT(D12:K16,H35:O39)</f>
        <v>392.25000000000034</v>
      </c>
      <c r="O16" s="48">
        <f t="shared" ref="O16:O17" si="2">N16/$N$20</f>
        <v>0.24049171282009379</v>
      </c>
      <c r="P16" s="1"/>
      <c r="Q16" s="1"/>
      <c r="R16" s="1"/>
      <c r="S16" s="1"/>
      <c r="T16" s="1"/>
    </row>
    <row r="17" spans="1:20" ht="15" thickBot="1" x14ac:dyDescent="0.35">
      <c r="M17" s="30" t="s">
        <v>16</v>
      </c>
      <c r="N17" s="28">
        <f>SUMPRODUCT(D21:K25,H43:O47)</f>
        <v>255.44999999999996</v>
      </c>
      <c r="O17" s="49">
        <f t="shared" si="2"/>
        <v>0.15661850360712018</v>
      </c>
      <c r="P17" s="1"/>
      <c r="Q17" s="1"/>
      <c r="R17" s="1"/>
      <c r="S17" s="1"/>
      <c r="T17" s="1"/>
    </row>
    <row r="18" spans="1:20" ht="15" thickTop="1" x14ac:dyDescent="0.3">
      <c r="N18" s="1"/>
      <c r="O18" s="48">
        <f>SUM(O15:O17)</f>
        <v>1</v>
      </c>
      <c r="P18" s="1"/>
      <c r="Q18" s="1"/>
      <c r="R18" s="1"/>
      <c r="S18" s="1"/>
      <c r="T18" s="1"/>
    </row>
    <row r="19" spans="1:20" ht="15" thickBot="1" x14ac:dyDescent="0.35">
      <c r="B19" s="1"/>
      <c r="C19" s="1"/>
      <c r="D19" s="1"/>
      <c r="E19" s="1"/>
      <c r="F19" s="1"/>
      <c r="G19" s="1"/>
      <c r="H19" s="1"/>
      <c r="I19" s="1"/>
      <c r="J19" s="1"/>
      <c r="K19" s="1"/>
      <c r="N19" s="1"/>
      <c r="P19" s="1"/>
      <c r="Q19" s="1"/>
      <c r="R19" s="1"/>
      <c r="S19" s="1"/>
      <c r="T19" s="1"/>
    </row>
    <row r="20" spans="1:20" ht="15" thickBot="1" x14ac:dyDescent="0.35">
      <c r="C20" s="5"/>
      <c r="D20" s="37" t="s">
        <v>0</v>
      </c>
      <c r="E20" s="37" t="s">
        <v>1</v>
      </c>
      <c r="F20" s="37" t="s">
        <v>2</v>
      </c>
      <c r="G20" s="37" t="s">
        <v>3</v>
      </c>
      <c r="H20" s="37" t="s">
        <v>4</v>
      </c>
      <c r="I20" s="37" t="s">
        <v>5</v>
      </c>
      <c r="J20" s="37" t="s">
        <v>6</v>
      </c>
      <c r="K20" s="38" t="s">
        <v>7</v>
      </c>
      <c r="M20" s="24" t="s">
        <v>37</v>
      </c>
      <c r="N20" s="25">
        <f>SUMPRODUCT(B38:F38,H29:L29)+SUMPRODUCT(D12:K16,H35:O39)+SUMPRODUCT(D21:K25,H43:O47)</f>
        <v>1631.0333333333335</v>
      </c>
      <c r="O20" s="1"/>
      <c r="P20" s="1"/>
      <c r="Q20" s="1"/>
      <c r="R20" s="1"/>
      <c r="S20" s="1"/>
      <c r="T20" s="1"/>
    </row>
    <row r="21" spans="1:20" x14ac:dyDescent="0.3">
      <c r="C21" s="35" t="s">
        <v>0</v>
      </c>
      <c r="D21" s="32">
        <f>C3*$B$53*$N$9</f>
        <v>0</v>
      </c>
      <c r="E21" s="33">
        <f>D3*$C$53*$N$9</f>
        <v>50.22</v>
      </c>
      <c r="F21" s="33">
        <f>E3*$D$53*$N$9</f>
        <v>46.5</v>
      </c>
      <c r="G21" s="33">
        <f>F3*$E$53*$N$9</f>
        <v>116.13</v>
      </c>
      <c r="H21" s="33">
        <f>G3*$F$53*$N$9</f>
        <v>39.15</v>
      </c>
      <c r="I21" s="33">
        <f>H3*$G$53*$N$9</f>
        <v>20.88</v>
      </c>
      <c r="J21" s="33">
        <f>I3*$H$53*$N$9</f>
        <v>43.199999999999996</v>
      </c>
      <c r="K21" s="39">
        <f>J3*$I$53*$N$9</f>
        <v>71.55</v>
      </c>
      <c r="O21" s="1"/>
      <c r="P21" s="1"/>
      <c r="Q21" s="1"/>
      <c r="R21" s="1"/>
      <c r="S21" s="1"/>
      <c r="T21" s="1"/>
    </row>
    <row r="22" spans="1:20" x14ac:dyDescent="0.3">
      <c r="C22" s="35" t="s">
        <v>1</v>
      </c>
      <c r="D22" s="40">
        <f t="shared" ref="D22:D25" si="3">C4*$B$53*$N$9</f>
        <v>25.92</v>
      </c>
      <c r="E22" s="31">
        <f>D4*$C$53*$N$9</f>
        <v>0</v>
      </c>
      <c r="F22" s="31">
        <f>E4*$D$53*$N$9</f>
        <v>24.180000000000003</v>
      </c>
      <c r="G22" s="31">
        <f>F4*$E$53*$N$9</f>
        <v>67.62</v>
      </c>
      <c r="H22" s="31">
        <f>G4*$F$53*$N$9</f>
        <v>54.809999999999995</v>
      </c>
      <c r="I22" s="31">
        <f>H4*$G$53*$N$9</f>
        <v>19.079999999999998</v>
      </c>
      <c r="J22" s="31">
        <f t="shared" ref="J22:J24" si="4">I4*$H$53*$N$9</f>
        <v>39.6</v>
      </c>
      <c r="K22" s="34">
        <f t="shared" ref="K22:K24" si="5">J4*$I$53*$N$9</f>
        <v>60.42</v>
      </c>
      <c r="M22" s="24" t="s">
        <v>36</v>
      </c>
      <c r="N22" s="28">
        <f>N20*N2</f>
        <v>489310.00000000006</v>
      </c>
      <c r="O22" s="1"/>
      <c r="P22" s="1"/>
      <c r="Q22" s="1"/>
      <c r="R22" s="1"/>
      <c r="S22" s="1"/>
      <c r="T22" s="1"/>
    </row>
    <row r="23" spans="1:20" x14ac:dyDescent="0.3">
      <c r="C23" s="35" t="s">
        <v>2</v>
      </c>
      <c r="D23" s="40">
        <f>C5*$B$53*$N$9</f>
        <v>48</v>
      </c>
      <c r="E23" s="31">
        <f>D5*$C$53*$N$9</f>
        <v>48.360000000000007</v>
      </c>
      <c r="F23" s="31">
        <f>E5*$D$53*$N$9</f>
        <v>0</v>
      </c>
      <c r="G23" s="31">
        <f>F5*$E$53*$N$9</f>
        <v>99.960000000000008</v>
      </c>
      <c r="H23" s="31">
        <f>G5*$F$53*$N$9</f>
        <v>156.6</v>
      </c>
      <c r="I23" s="31">
        <f>H5*$G$53*$N$9</f>
        <v>5.04</v>
      </c>
      <c r="J23" s="31">
        <f t="shared" si="4"/>
        <v>90</v>
      </c>
      <c r="K23" s="34">
        <f t="shared" si="5"/>
        <v>89.04</v>
      </c>
      <c r="M23" s="1"/>
      <c r="N23" s="1"/>
      <c r="O23" s="1"/>
      <c r="P23" s="1"/>
      <c r="Q23" s="28"/>
      <c r="R23" s="1"/>
      <c r="S23" s="1"/>
      <c r="T23" s="1"/>
    </row>
    <row r="24" spans="1:20" x14ac:dyDescent="0.3">
      <c r="C24" s="35" t="s">
        <v>3</v>
      </c>
      <c r="D24" s="40">
        <f t="shared" si="3"/>
        <v>75.84</v>
      </c>
      <c r="E24" s="31">
        <f>D6*$C$53*$N$9</f>
        <v>85.559999999999988</v>
      </c>
      <c r="F24" s="31">
        <f>E6*$D$53*$N$9</f>
        <v>63.24</v>
      </c>
      <c r="G24" s="31">
        <f>F6*$E$53*$N$9</f>
        <v>0</v>
      </c>
      <c r="H24" s="31">
        <f>G6*$F$53*$N$9</f>
        <v>146.15999999999997</v>
      </c>
      <c r="I24" s="31">
        <f>H6*$G$53*$N$9</f>
        <v>33.479999999999997</v>
      </c>
      <c r="J24" s="31">
        <f t="shared" si="4"/>
        <v>31.2</v>
      </c>
      <c r="K24" s="34">
        <f t="shared" si="5"/>
        <v>69.959999999999994</v>
      </c>
      <c r="M24" s="1"/>
      <c r="N24" s="1"/>
      <c r="O24" s="1"/>
      <c r="P24" s="1"/>
      <c r="Q24" s="1"/>
      <c r="R24" s="1"/>
      <c r="S24" s="1"/>
      <c r="T24" s="1"/>
    </row>
    <row r="25" spans="1:20" ht="15" thickBot="1" x14ac:dyDescent="0.35">
      <c r="C25" s="36" t="s">
        <v>4</v>
      </c>
      <c r="D25" s="41">
        <f t="shared" si="3"/>
        <v>14.399999999999999</v>
      </c>
      <c r="E25" s="42">
        <f>D7*$C$53*$N$9</f>
        <v>39.06</v>
      </c>
      <c r="F25" s="42">
        <f>E7*$D$53*$N$9</f>
        <v>55.8</v>
      </c>
      <c r="G25" s="42">
        <f>F7*$E$53*$N$9</f>
        <v>82.320000000000007</v>
      </c>
      <c r="H25" s="42">
        <f>G7*$F$53*$N$9</f>
        <v>0</v>
      </c>
      <c r="I25" s="42">
        <f>H7*$G$53*$N$9</f>
        <v>13.68</v>
      </c>
      <c r="J25" s="42">
        <f>I7*$H$53*$N$9</f>
        <v>30</v>
      </c>
      <c r="K25" s="43">
        <f>J7*$I$53*$N$9</f>
        <v>89.04</v>
      </c>
      <c r="M25" s="1"/>
      <c r="N25" s="1"/>
      <c r="O25" s="1"/>
      <c r="P25" s="1"/>
      <c r="Q25" s="1"/>
      <c r="R25" s="1"/>
      <c r="S25" s="1"/>
      <c r="T25" s="1"/>
    </row>
    <row r="26" spans="1:20" x14ac:dyDescent="0.3">
      <c r="M26" s="1"/>
      <c r="N26" s="1"/>
      <c r="O26" s="1"/>
      <c r="P26" s="1"/>
      <c r="Q26" s="1"/>
      <c r="R26" s="1"/>
      <c r="S26" s="1"/>
      <c r="T26" s="1"/>
    </row>
    <row r="27" spans="1:20" ht="15" thickBot="1" x14ac:dyDescent="0.35">
      <c r="M27" s="1"/>
      <c r="N27" s="1"/>
      <c r="O27" s="1"/>
      <c r="P27" s="1"/>
      <c r="Q27" s="1"/>
      <c r="R27" s="1"/>
      <c r="S27" s="1"/>
      <c r="T27" s="1"/>
    </row>
    <row r="28" spans="1:20" ht="15" thickBot="1" x14ac:dyDescent="0.35">
      <c r="H28" s="18" t="str" cm="1">
        <f t="array" ref="H28:L28">TRANSPOSE(C21:C25)</f>
        <v>A</v>
      </c>
      <c r="I28" s="19" t="str">
        <v>B</v>
      </c>
      <c r="J28" s="19" t="str">
        <v>C</v>
      </c>
      <c r="K28" s="19" t="str">
        <v>D</v>
      </c>
      <c r="L28" s="20" t="str">
        <v>E</v>
      </c>
      <c r="M28" s="1"/>
      <c r="N28" s="1"/>
      <c r="O28" s="1"/>
      <c r="P28" s="1"/>
      <c r="Q28" s="1"/>
      <c r="R28" s="1"/>
      <c r="S28" s="1"/>
      <c r="T28" s="1"/>
    </row>
    <row r="29" spans="1:20" x14ac:dyDescent="0.3">
      <c r="A29" s="1"/>
      <c r="B29" s="1"/>
      <c r="C29" s="1"/>
      <c r="D29" s="1"/>
      <c r="E29" s="1"/>
      <c r="F29" s="1"/>
      <c r="G29" s="1"/>
      <c r="H29" s="64">
        <v>1</v>
      </c>
      <c r="I29" s="64">
        <v>1</v>
      </c>
      <c r="J29" s="64">
        <v>0</v>
      </c>
      <c r="K29" s="64">
        <v>0</v>
      </c>
      <c r="L29" s="64">
        <v>0</v>
      </c>
      <c r="M29" s="1"/>
      <c r="N29" s="1"/>
      <c r="O29" s="1"/>
      <c r="P29" s="1"/>
      <c r="Q29" s="1"/>
      <c r="R29" s="1"/>
      <c r="S29" s="1"/>
      <c r="T29" s="1"/>
    </row>
    <row r="30" spans="1:20" ht="13.2" customHeight="1" x14ac:dyDescent="4.1500000000000004">
      <c r="A30" s="1"/>
      <c r="B30" s="1"/>
      <c r="C30" s="1"/>
      <c r="D30" s="1"/>
      <c r="E30" s="1"/>
      <c r="F30" s="1"/>
      <c r="G30" s="1"/>
      <c r="H30" s="46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</row>
    <row r="31" spans="1:20" ht="15" thickBot="1" x14ac:dyDescent="0.35">
      <c r="A31" s="1"/>
      <c r="G31" s="1"/>
      <c r="Q31" s="1"/>
      <c r="R31" s="1"/>
      <c r="S31" s="1"/>
      <c r="T31" s="1"/>
    </row>
    <row r="32" spans="1:20" ht="15" thickBot="1" x14ac:dyDescent="0.35">
      <c r="A32" s="1"/>
      <c r="B32" s="18" t="str" cm="1">
        <f t="array" ref="B32:F32">TRANSPOSE(B3:B7)</f>
        <v>A</v>
      </c>
      <c r="C32" s="19" t="str">
        <v>B</v>
      </c>
      <c r="D32" s="19" t="str">
        <v>C</v>
      </c>
      <c r="E32" s="19" t="str">
        <v>D</v>
      </c>
      <c r="F32" s="20" t="str">
        <v>E</v>
      </c>
      <c r="G32" s="1"/>
      <c r="H32" s="1"/>
      <c r="I32" s="1"/>
      <c r="J32" s="1"/>
      <c r="K32" s="1"/>
      <c r="L32" s="1"/>
      <c r="M32" s="1"/>
      <c r="N32" s="1"/>
      <c r="O32" s="1"/>
      <c r="Q32" s="1"/>
      <c r="R32" s="1"/>
      <c r="S32" s="1"/>
      <c r="T32" s="1"/>
    </row>
    <row r="33" spans="1:20" ht="15" thickBot="1" x14ac:dyDescent="0.35">
      <c r="A33" s="1"/>
      <c r="B33" s="9">
        <v>150000</v>
      </c>
      <c r="C33" s="10">
        <v>145000</v>
      </c>
      <c r="D33" s="10">
        <v>180000</v>
      </c>
      <c r="E33" s="10">
        <v>175000</v>
      </c>
      <c r="F33" s="11">
        <v>190000</v>
      </c>
      <c r="G33" s="1"/>
      <c r="H33" s="1"/>
      <c r="I33" s="1"/>
      <c r="J33" s="1"/>
      <c r="K33" s="1"/>
      <c r="L33" s="1"/>
      <c r="M33" s="1"/>
      <c r="N33" s="1"/>
      <c r="O33" s="1"/>
      <c r="Q33" s="1"/>
      <c r="R33" s="1"/>
      <c r="S33" s="1"/>
      <c r="T33" s="1"/>
    </row>
    <row r="34" spans="1:20" ht="15" thickBot="1" x14ac:dyDescent="0.35">
      <c r="A34" s="1"/>
      <c r="C34" s="2"/>
      <c r="D34" s="2"/>
      <c r="E34" s="2"/>
      <c r="F34" s="2"/>
      <c r="G34" s="5"/>
      <c r="H34" s="37" t="s">
        <v>0</v>
      </c>
      <c r="I34" s="37" t="s">
        <v>1</v>
      </c>
      <c r="J34" s="37" t="s">
        <v>2</v>
      </c>
      <c r="K34" s="37" t="s">
        <v>3</v>
      </c>
      <c r="L34" s="37" t="s">
        <v>4</v>
      </c>
      <c r="M34" s="37" t="s">
        <v>5</v>
      </c>
      <c r="N34" s="37" t="s">
        <v>6</v>
      </c>
      <c r="O34" s="38" t="s">
        <v>7</v>
      </c>
      <c r="Q34" s="63" t="s">
        <v>35</v>
      </c>
      <c r="R34" s="5"/>
      <c r="S34" s="1"/>
      <c r="T34" s="1"/>
    </row>
    <row r="35" spans="1:20" x14ac:dyDescent="0.3">
      <c r="G35" s="35" t="s">
        <v>0</v>
      </c>
      <c r="H35" s="50">
        <v>1</v>
      </c>
      <c r="I35" s="51">
        <v>0</v>
      </c>
      <c r="J35" s="51">
        <v>0</v>
      </c>
      <c r="K35" s="51">
        <v>0</v>
      </c>
      <c r="L35" s="51">
        <v>0.99999999999999822</v>
      </c>
      <c r="M35" s="51">
        <v>1.000000000000004</v>
      </c>
      <c r="N35" s="51">
        <v>1</v>
      </c>
      <c r="O35" s="52">
        <v>0.29508196721311464</v>
      </c>
      <c r="Q35" s="59">
        <f>SUMPRODUCT(H35:O35,$B$52:$I$52)</f>
        <v>28.800000000000008</v>
      </c>
      <c r="R35" s="5"/>
      <c r="S35" s="1"/>
      <c r="T35" s="1"/>
    </row>
    <row r="36" spans="1:20" ht="15" thickBot="1" x14ac:dyDescent="0.35">
      <c r="G36" s="35" t="s">
        <v>1</v>
      </c>
      <c r="H36" s="53">
        <v>0</v>
      </c>
      <c r="I36" s="54">
        <v>1</v>
      </c>
      <c r="J36" s="54">
        <v>1</v>
      </c>
      <c r="K36" s="54">
        <v>1.0000000000000004</v>
      </c>
      <c r="L36" s="54">
        <v>0</v>
      </c>
      <c r="M36" s="54">
        <v>0</v>
      </c>
      <c r="N36" s="54">
        <v>0</v>
      </c>
      <c r="O36" s="55">
        <v>0.70491803278688625</v>
      </c>
      <c r="Q36" s="59">
        <f t="shared" ref="Q36:Q39" si="6">SUMPRODUCT(H36:O36,$B$52:$I$52)</f>
        <v>22.500000000000007</v>
      </c>
      <c r="R36" s="5"/>
      <c r="S36" s="1"/>
      <c r="T36" s="1"/>
    </row>
    <row r="37" spans="1:20" ht="15" thickBot="1" x14ac:dyDescent="0.35">
      <c r="B37" s="18" t="str" cm="1">
        <f t="array" ref="B37:F37">TRANSPOSE(B3:B7)</f>
        <v>A</v>
      </c>
      <c r="C37" s="19" t="str">
        <v>B</v>
      </c>
      <c r="D37" s="19" t="str">
        <v>C</v>
      </c>
      <c r="E37" s="19" t="str">
        <v>D</v>
      </c>
      <c r="F37" s="20" t="str">
        <v>E</v>
      </c>
      <c r="G37" s="35" t="s">
        <v>2</v>
      </c>
      <c r="H37" s="53">
        <v>0</v>
      </c>
      <c r="I37" s="54">
        <v>0</v>
      </c>
      <c r="J37" s="54">
        <v>0</v>
      </c>
      <c r="K37" s="54">
        <v>0</v>
      </c>
      <c r="L37" s="54">
        <v>0</v>
      </c>
      <c r="M37" s="54">
        <v>0</v>
      </c>
      <c r="N37" s="54">
        <v>0</v>
      </c>
      <c r="O37" s="55">
        <v>0</v>
      </c>
      <c r="Q37" s="59">
        <f t="shared" si="6"/>
        <v>0</v>
      </c>
      <c r="R37" s="5"/>
      <c r="S37" s="1"/>
      <c r="T37" s="1"/>
    </row>
    <row r="38" spans="1:20" ht="15" thickBot="1" x14ac:dyDescent="0.35">
      <c r="B38" s="9">
        <f>B$33/$N$2</f>
        <v>500</v>
      </c>
      <c r="C38" s="9">
        <f>C$33/$N$2</f>
        <v>483.33333333333331</v>
      </c>
      <c r="D38" s="9">
        <f>D$33/$N$2</f>
        <v>600</v>
      </c>
      <c r="E38" s="9">
        <f>E$33/$N$2</f>
        <v>583.33333333333337</v>
      </c>
      <c r="F38" s="9">
        <f>F$33/$N$2</f>
        <v>633.33333333333337</v>
      </c>
      <c r="G38" s="35" t="s">
        <v>3</v>
      </c>
      <c r="H38" s="53">
        <v>0</v>
      </c>
      <c r="I38" s="54">
        <v>0</v>
      </c>
      <c r="J38" s="54">
        <v>0</v>
      </c>
      <c r="K38" s="54">
        <v>0</v>
      </c>
      <c r="L38" s="54">
        <v>0</v>
      </c>
      <c r="M38" s="54">
        <v>0</v>
      </c>
      <c r="N38" s="54">
        <v>0</v>
      </c>
      <c r="O38" s="55">
        <v>0</v>
      </c>
      <c r="Q38" s="59">
        <f t="shared" si="6"/>
        <v>0</v>
      </c>
      <c r="R38" s="5"/>
      <c r="S38" s="1"/>
      <c r="T38" s="1"/>
    </row>
    <row r="39" spans="1:20" ht="15" thickBot="1" x14ac:dyDescent="0.35">
      <c r="G39" s="36" t="s">
        <v>4</v>
      </c>
      <c r="H39" s="56">
        <v>0</v>
      </c>
      <c r="I39" s="57">
        <v>0</v>
      </c>
      <c r="J39" s="57">
        <v>0</v>
      </c>
      <c r="K39" s="57">
        <v>0</v>
      </c>
      <c r="L39" s="57">
        <v>0</v>
      </c>
      <c r="M39" s="57">
        <v>0</v>
      </c>
      <c r="N39" s="57">
        <v>0</v>
      </c>
      <c r="O39" s="58">
        <v>0</v>
      </c>
      <c r="Q39" s="59">
        <f t="shared" si="6"/>
        <v>0</v>
      </c>
      <c r="R39" s="1"/>
      <c r="S39" s="1"/>
      <c r="T39" s="1"/>
    </row>
    <row r="40" spans="1:20" x14ac:dyDescent="0.3">
      <c r="G40" s="1"/>
      <c r="H40" s="1"/>
      <c r="I40" s="1"/>
      <c r="J40" s="1"/>
      <c r="K40" s="1"/>
      <c r="L40" s="1"/>
      <c r="M40" s="1"/>
      <c r="N40" s="1"/>
      <c r="O40" s="1"/>
      <c r="Q40" s="1"/>
      <c r="R40" s="1"/>
      <c r="S40" s="1"/>
      <c r="T40" s="1"/>
    </row>
    <row r="41" spans="1:20" ht="15" thickBot="1" x14ac:dyDescent="0.3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Q41" s="1"/>
      <c r="R41" s="1"/>
      <c r="S41" s="1"/>
      <c r="T41" s="1"/>
    </row>
    <row r="42" spans="1:20" ht="15" thickBot="1" x14ac:dyDescent="0.35">
      <c r="A42" s="1"/>
      <c r="B42" s="1"/>
      <c r="C42" s="1"/>
      <c r="D42" s="1"/>
      <c r="E42" s="1"/>
      <c r="F42" s="1"/>
      <c r="G42" s="5"/>
      <c r="H42" s="37" t="s">
        <v>0</v>
      </c>
      <c r="I42" s="37" t="s">
        <v>1</v>
      </c>
      <c r="J42" s="37" t="s">
        <v>2</v>
      </c>
      <c r="K42" s="37" t="s">
        <v>3</v>
      </c>
      <c r="L42" s="37" t="s">
        <v>4</v>
      </c>
      <c r="M42" s="37" t="s">
        <v>5</v>
      </c>
      <c r="N42" s="37" t="s">
        <v>6</v>
      </c>
      <c r="O42" s="38" t="s">
        <v>7</v>
      </c>
      <c r="Q42" s="63" t="s">
        <v>35</v>
      </c>
      <c r="R42" s="1"/>
      <c r="S42" s="1"/>
      <c r="T42" s="1"/>
    </row>
    <row r="43" spans="1:20" ht="15" thickBot="1" x14ac:dyDescent="0.35">
      <c r="A43" s="1"/>
      <c r="B43" s="18" t="str" cm="1">
        <f t="array" ref="B43:F43">TRANSPOSE(B3:B7)</f>
        <v>A</v>
      </c>
      <c r="C43" s="19" t="str">
        <v>B</v>
      </c>
      <c r="D43" s="19" t="str">
        <v>C</v>
      </c>
      <c r="E43" s="19" t="str">
        <v>D</v>
      </c>
      <c r="F43" s="20" t="str">
        <v>E</v>
      </c>
      <c r="G43" s="35" t="s">
        <v>0</v>
      </c>
      <c r="H43" s="50">
        <v>1</v>
      </c>
      <c r="I43" s="51">
        <v>0</v>
      </c>
      <c r="J43" s="51">
        <v>0</v>
      </c>
      <c r="K43" s="51">
        <v>0</v>
      </c>
      <c r="L43" s="51">
        <v>1</v>
      </c>
      <c r="M43" s="51">
        <v>0.99999999999999523</v>
      </c>
      <c r="N43" s="51">
        <v>1</v>
      </c>
      <c r="O43" s="52">
        <v>0</v>
      </c>
      <c r="Q43" s="59">
        <f>SUMPRODUCT(H43:O43,$B$53:$I$53)</f>
        <v>17.099999999999994</v>
      </c>
      <c r="R43" s="1"/>
      <c r="S43" s="1"/>
      <c r="T43" s="1"/>
    </row>
    <row r="44" spans="1:20" ht="15" thickBot="1" x14ac:dyDescent="0.35">
      <c r="A44" s="1"/>
      <c r="B44" s="12">
        <v>60</v>
      </c>
      <c r="C44" s="13">
        <v>42</v>
      </c>
      <c r="D44" s="13">
        <v>58</v>
      </c>
      <c r="E44" s="13">
        <v>41</v>
      </c>
      <c r="F44" s="14">
        <v>60</v>
      </c>
      <c r="G44" s="35" t="s">
        <v>1</v>
      </c>
      <c r="H44" s="53">
        <v>0</v>
      </c>
      <c r="I44" s="54">
        <v>1</v>
      </c>
      <c r="J44" s="54">
        <v>1</v>
      </c>
      <c r="K44" s="54">
        <v>1.0000000000000002</v>
      </c>
      <c r="L44" s="54">
        <v>0</v>
      </c>
      <c r="M44" s="54">
        <v>0</v>
      </c>
      <c r="N44" s="54">
        <v>0</v>
      </c>
      <c r="O44" s="55">
        <v>1</v>
      </c>
      <c r="Q44" s="59">
        <f t="shared" ref="Q44:Q47" si="7">SUMPRODUCT(H44:O44,$B$53:$I$53)</f>
        <v>19.500000000000004</v>
      </c>
      <c r="R44" s="1"/>
      <c r="S44" s="1"/>
      <c r="T44" s="1"/>
    </row>
    <row r="45" spans="1:20" x14ac:dyDescent="0.3">
      <c r="A45" s="1"/>
      <c r="B45" s="1"/>
      <c r="C45" s="1"/>
      <c r="D45" s="1"/>
      <c r="E45" s="1"/>
      <c r="F45" s="1"/>
      <c r="G45" s="35" t="s">
        <v>2</v>
      </c>
      <c r="H45" s="53">
        <v>0</v>
      </c>
      <c r="I45" s="54">
        <v>0</v>
      </c>
      <c r="J45" s="54">
        <v>0</v>
      </c>
      <c r="K45" s="54">
        <v>0</v>
      </c>
      <c r="L45" s="54">
        <v>0</v>
      </c>
      <c r="M45" s="54">
        <v>4.7739590058881731E-15</v>
      </c>
      <c r="N45" s="54">
        <v>0</v>
      </c>
      <c r="O45" s="55">
        <v>0</v>
      </c>
      <c r="Q45" s="59">
        <f t="shared" si="7"/>
        <v>5.7287508070658079E-15</v>
      </c>
      <c r="R45" s="1"/>
      <c r="S45" s="1"/>
      <c r="T45" s="1"/>
    </row>
    <row r="46" spans="1:20" x14ac:dyDescent="0.3">
      <c r="A46" s="1"/>
      <c r="B46" s="1"/>
      <c r="C46" s="1"/>
      <c r="D46" s="1"/>
      <c r="E46" s="1"/>
      <c r="F46" s="1"/>
      <c r="G46" s="35" t="s">
        <v>3</v>
      </c>
      <c r="H46" s="53">
        <v>0</v>
      </c>
      <c r="I46" s="54">
        <v>0</v>
      </c>
      <c r="J46" s="54">
        <v>0</v>
      </c>
      <c r="K46" s="54">
        <v>0</v>
      </c>
      <c r="L46" s="54">
        <v>0</v>
      </c>
      <c r="M46" s="54">
        <v>0</v>
      </c>
      <c r="N46" s="54">
        <v>0</v>
      </c>
      <c r="O46" s="55">
        <v>0</v>
      </c>
      <c r="Q46" s="59">
        <f t="shared" si="7"/>
        <v>0</v>
      </c>
      <c r="R46" s="1"/>
      <c r="S46" s="1"/>
      <c r="T46" s="1"/>
    </row>
    <row r="47" spans="1:20" ht="15" thickBot="1" x14ac:dyDescent="0.35">
      <c r="A47" s="1"/>
      <c r="G47" s="36" t="s">
        <v>4</v>
      </c>
      <c r="H47" s="56">
        <v>0</v>
      </c>
      <c r="I47" s="57">
        <v>0</v>
      </c>
      <c r="J47" s="57">
        <v>0</v>
      </c>
      <c r="K47" s="57">
        <v>0</v>
      </c>
      <c r="L47" s="57">
        <v>0</v>
      </c>
      <c r="M47" s="57">
        <v>0</v>
      </c>
      <c r="N47" s="57">
        <v>0</v>
      </c>
      <c r="O47" s="58">
        <v>0</v>
      </c>
      <c r="Q47" s="59">
        <f t="shared" si="7"/>
        <v>0</v>
      </c>
      <c r="R47" s="1"/>
      <c r="S47" s="1"/>
      <c r="T47" s="1"/>
    </row>
    <row r="48" spans="1:20" x14ac:dyDescent="0.3"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</row>
    <row r="49" spans="1:20" x14ac:dyDescent="0.3">
      <c r="H49" s="5"/>
      <c r="I49" s="5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</row>
    <row r="50" spans="1:20" ht="15" thickBot="1" x14ac:dyDescent="0.3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59"/>
      <c r="R50" s="1"/>
      <c r="S50" s="1"/>
      <c r="T50" s="1"/>
    </row>
    <row r="51" spans="1:20" ht="15" thickBot="1" x14ac:dyDescent="0.35">
      <c r="A51" s="1"/>
      <c r="B51" s="27" t="s">
        <v>0</v>
      </c>
      <c r="C51" s="37" t="s">
        <v>1</v>
      </c>
      <c r="D51" s="37" t="s">
        <v>2</v>
      </c>
      <c r="E51" s="37" t="s">
        <v>3</v>
      </c>
      <c r="F51" s="37" t="s">
        <v>4</v>
      </c>
      <c r="G51" s="37" t="s">
        <v>5</v>
      </c>
      <c r="H51" s="37" t="s">
        <v>6</v>
      </c>
      <c r="I51" s="38" t="s">
        <v>7</v>
      </c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</row>
    <row r="52" spans="1:20" x14ac:dyDescent="0.3">
      <c r="A52" s="44" t="s">
        <v>11</v>
      </c>
      <c r="B52" s="4">
        <v>9.5</v>
      </c>
      <c r="C52" s="15">
        <v>6.1</v>
      </c>
      <c r="D52" s="15">
        <v>4.8</v>
      </c>
      <c r="E52" s="15">
        <v>7.3</v>
      </c>
      <c r="F52" s="15">
        <v>5.5</v>
      </c>
      <c r="G52" s="15">
        <v>4</v>
      </c>
      <c r="H52" s="15">
        <v>8</v>
      </c>
      <c r="I52" s="16">
        <v>6.1</v>
      </c>
      <c r="M52" s="1"/>
      <c r="N52" s="1"/>
      <c r="O52" s="1"/>
      <c r="P52" s="1"/>
      <c r="Q52" s="1"/>
      <c r="R52" s="1"/>
      <c r="S52" s="1"/>
      <c r="T52" s="1"/>
    </row>
    <row r="53" spans="1:20" ht="15" thickBot="1" x14ac:dyDescent="0.35">
      <c r="A53" s="44" t="s">
        <v>12</v>
      </c>
      <c r="B53" s="17">
        <v>3.2</v>
      </c>
      <c r="C53" s="7">
        <v>6.2</v>
      </c>
      <c r="D53" s="7">
        <v>3.1</v>
      </c>
      <c r="E53" s="7">
        <v>4.9000000000000004</v>
      </c>
      <c r="F53" s="7">
        <v>8.6999999999999993</v>
      </c>
      <c r="G53" s="7">
        <v>1.2</v>
      </c>
      <c r="H53" s="7">
        <v>4</v>
      </c>
      <c r="I53" s="8">
        <v>5.3</v>
      </c>
      <c r="M53" s="1"/>
      <c r="N53" s="1"/>
      <c r="O53" s="1"/>
      <c r="P53" s="1"/>
      <c r="Q53" s="1"/>
      <c r="R53" s="1"/>
      <c r="S53" s="1"/>
      <c r="T53" s="1"/>
    </row>
    <row r="54" spans="1:20" x14ac:dyDescent="0.3">
      <c r="A54" s="1"/>
      <c r="M54" s="1"/>
      <c r="N54" s="1"/>
      <c r="O54" s="1"/>
      <c r="P54" s="1"/>
      <c r="Q54" s="1"/>
      <c r="R54" s="1"/>
      <c r="S54" s="1"/>
      <c r="T54" s="1"/>
    </row>
    <row r="55" spans="1:20" x14ac:dyDescent="0.3">
      <c r="A55" s="1"/>
      <c r="M55" s="1"/>
      <c r="N55" s="1"/>
      <c r="O55" s="1"/>
      <c r="P55" s="1"/>
      <c r="Q55" s="1"/>
      <c r="R55" s="1"/>
      <c r="S55" s="1"/>
      <c r="T55" s="1"/>
    </row>
    <row r="56" spans="1:20" x14ac:dyDescent="0.3">
      <c r="A56" s="1"/>
      <c r="M56" s="1"/>
      <c r="N56" s="1"/>
      <c r="O56" s="1"/>
      <c r="P56" s="1"/>
      <c r="Q56" s="1"/>
      <c r="R56" s="1"/>
      <c r="S56" s="1"/>
      <c r="T56" s="1"/>
    </row>
    <row r="57" spans="1:20" x14ac:dyDescent="0.3">
      <c r="A57" s="1"/>
      <c r="M57" s="1"/>
      <c r="N57" s="1"/>
      <c r="O57" s="1"/>
      <c r="P57" s="1"/>
      <c r="Q57" s="1"/>
      <c r="R57" s="1"/>
      <c r="S57" s="1"/>
      <c r="T57" s="1"/>
    </row>
    <row r="58" spans="1:20" x14ac:dyDescent="0.3">
      <c r="A58" s="1"/>
      <c r="M58" s="1"/>
      <c r="N58" s="1"/>
      <c r="O58" s="1"/>
      <c r="P58" s="1"/>
      <c r="Q58" s="1"/>
      <c r="R58" s="1"/>
      <c r="S58" s="1"/>
      <c r="T58" s="1"/>
    </row>
    <row r="59" spans="1:20" x14ac:dyDescent="0.3">
      <c r="A59" s="1"/>
      <c r="N59" s="1"/>
      <c r="O59" s="1"/>
      <c r="P59" s="1"/>
      <c r="Q59" s="1"/>
      <c r="R59" s="1"/>
      <c r="S59" s="1"/>
      <c r="T59" s="1"/>
    </row>
    <row r="60" spans="1:20" x14ac:dyDescent="0.3">
      <c r="A60" s="26"/>
      <c r="N60" s="1"/>
      <c r="O60" s="1"/>
      <c r="P60" s="1"/>
      <c r="Q60" s="1"/>
      <c r="R60" s="1"/>
      <c r="S60" s="1"/>
      <c r="T60" s="1"/>
    </row>
    <row r="61" spans="1:20" x14ac:dyDescent="0.3">
      <c r="A61" s="1"/>
      <c r="N61" s="1"/>
      <c r="O61" s="1"/>
      <c r="P61" s="1"/>
      <c r="Q61" s="1"/>
      <c r="R61" s="1"/>
      <c r="S61" s="1"/>
      <c r="T61" s="1"/>
    </row>
    <row r="62" spans="1:20" x14ac:dyDescent="0.3">
      <c r="A62" s="1"/>
      <c r="N62" s="1"/>
      <c r="O62" s="1"/>
      <c r="P62" s="1"/>
      <c r="Q62" s="1"/>
      <c r="R62" s="1"/>
      <c r="S62" s="1"/>
      <c r="T62" s="1"/>
    </row>
    <row r="63" spans="1:20" x14ac:dyDescent="0.3">
      <c r="A63" s="1"/>
      <c r="N63" s="1"/>
      <c r="O63" s="1"/>
      <c r="P63" s="1"/>
      <c r="Q63" s="1"/>
      <c r="R63" s="1"/>
      <c r="S63" s="1"/>
      <c r="T63" s="1"/>
    </row>
    <row r="64" spans="1:20" x14ac:dyDescent="0.3">
      <c r="A64" s="1"/>
      <c r="N64" s="1"/>
      <c r="O64" s="1"/>
      <c r="P64" s="1"/>
      <c r="Q64" s="1"/>
      <c r="R64" s="1"/>
      <c r="S64" s="1"/>
      <c r="T64" s="1"/>
    </row>
    <row r="65" spans="1:20" x14ac:dyDescent="0.3">
      <c r="A65" s="1"/>
      <c r="M65" s="62" t="s">
        <v>34</v>
      </c>
      <c r="N65" s="1"/>
      <c r="O65" s="1"/>
      <c r="P65" s="1"/>
      <c r="Q65" s="1"/>
      <c r="R65" s="1"/>
      <c r="S65" s="1"/>
      <c r="T65" s="1"/>
    </row>
    <row r="66" spans="1:20" x14ac:dyDescent="0.3">
      <c r="A66" s="1"/>
      <c r="B66" s="59">
        <f>SUM(H$35:H$39)</f>
        <v>1</v>
      </c>
      <c r="C66" s="1" t="s">
        <v>17</v>
      </c>
      <c r="D66" s="1">
        <v>1</v>
      </c>
      <c r="E66" s="47" t="s">
        <v>11</v>
      </c>
      <c r="F66" s="47" t="s">
        <v>24</v>
      </c>
      <c r="I66" s="59">
        <f>SUMPRODUCT($B$52:$I$52,$H35:$O35)+SUMPRODUCT($B$53:$I$53,$H43:$O43)</f>
        <v>45.900000000000006</v>
      </c>
      <c r="J66" s="45" t="s">
        <v>18</v>
      </c>
      <c r="K66" s="59">
        <f>B$44*H$29</f>
        <v>60</v>
      </c>
      <c r="L66" s="47" t="s">
        <v>19</v>
      </c>
      <c r="M66" s="48">
        <f>IF(K66=0,0,I66/K66)</f>
        <v>0.76500000000000012</v>
      </c>
      <c r="N66" s="1"/>
      <c r="O66" s="1"/>
      <c r="P66" s="1"/>
      <c r="Q66" s="1"/>
      <c r="R66" s="1"/>
      <c r="S66" s="1"/>
      <c r="T66" s="1"/>
    </row>
    <row r="67" spans="1:20" x14ac:dyDescent="0.3">
      <c r="A67" s="1"/>
      <c r="B67" s="59">
        <f>SUM(I$35:I$39)</f>
        <v>1</v>
      </c>
      <c r="C67" s="1" t="s">
        <v>17</v>
      </c>
      <c r="D67" s="1">
        <v>1</v>
      </c>
      <c r="E67" s="47" t="s">
        <v>11</v>
      </c>
      <c r="F67" s="47" t="s">
        <v>25</v>
      </c>
      <c r="I67" s="59">
        <f>SUMPRODUCT($B$52:$I$52,$H36:$O36)+SUMPRODUCT($B$53:$I$53,$H44:$O44)</f>
        <v>42.000000000000014</v>
      </c>
      <c r="J67" s="45" t="s">
        <v>18</v>
      </c>
      <c r="K67" s="59">
        <f>C$44*I$29</f>
        <v>42</v>
      </c>
      <c r="L67" s="47" t="s">
        <v>20</v>
      </c>
      <c r="M67" s="48">
        <f>IF(K67=0,0,I67/K67)</f>
        <v>1.0000000000000004</v>
      </c>
      <c r="N67" s="1"/>
      <c r="O67" s="1"/>
      <c r="P67" s="1"/>
      <c r="Q67" s="1"/>
      <c r="R67" s="1"/>
      <c r="S67" s="1"/>
      <c r="T67" s="1"/>
    </row>
    <row r="68" spans="1:20" x14ac:dyDescent="0.3">
      <c r="A68" s="1"/>
      <c r="B68" s="59">
        <f>SUM(J$35:J$39)</f>
        <v>1</v>
      </c>
      <c r="C68" s="1" t="s">
        <v>17</v>
      </c>
      <c r="D68" s="1">
        <v>1</v>
      </c>
      <c r="E68" s="47" t="s">
        <v>11</v>
      </c>
      <c r="F68" s="47" t="s">
        <v>26</v>
      </c>
      <c r="I68" s="59">
        <f>SUMPRODUCT($B$52:$I$52,$H37:$O37)+SUMPRODUCT($B$53:$I$53,$H45:$O45)</f>
        <v>5.7287508070658079E-15</v>
      </c>
      <c r="J68" s="45" t="s">
        <v>18</v>
      </c>
      <c r="K68" s="59">
        <f>D$44*J$29</f>
        <v>0</v>
      </c>
      <c r="L68" s="47" t="s">
        <v>21</v>
      </c>
      <c r="M68" s="48">
        <f t="shared" ref="M68:M70" si="8">IF(K68=0,0,I68/K68)</f>
        <v>0</v>
      </c>
      <c r="N68" s="1"/>
      <c r="O68" s="1"/>
      <c r="P68" s="1"/>
      <c r="Q68" s="1"/>
      <c r="R68" s="1"/>
      <c r="S68" s="1"/>
      <c r="T68" s="1"/>
    </row>
    <row r="69" spans="1:20" x14ac:dyDescent="0.3">
      <c r="A69" s="1"/>
      <c r="B69" s="59">
        <f>SUM(K$35:K$39)</f>
        <v>1.0000000000000004</v>
      </c>
      <c r="C69" s="1" t="s">
        <v>17</v>
      </c>
      <c r="D69" s="1">
        <v>1</v>
      </c>
      <c r="E69" s="47" t="s">
        <v>11</v>
      </c>
      <c r="F69" s="47" t="s">
        <v>27</v>
      </c>
      <c r="H69" s="1"/>
      <c r="I69" s="59">
        <f>SUMPRODUCT($B$52:$I$52,$H38:$O38)+SUMPRODUCT($B$53:$I$53,$H46:$O46)</f>
        <v>0</v>
      </c>
      <c r="J69" s="45" t="s">
        <v>18</v>
      </c>
      <c r="K69" s="59">
        <f>E$44*K$29</f>
        <v>0</v>
      </c>
      <c r="L69" s="47" t="s">
        <v>22</v>
      </c>
      <c r="M69" s="48">
        <f t="shared" si="8"/>
        <v>0</v>
      </c>
      <c r="N69" s="1"/>
      <c r="O69" s="1"/>
      <c r="P69" s="1"/>
      <c r="Q69" s="1"/>
      <c r="R69" s="1"/>
      <c r="S69" s="1"/>
      <c r="T69" s="1"/>
    </row>
    <row r="70" spans="1:20" x14ac:dyDescent="0.3">
      <c r="A70" s="1"/>
      <c r="B70" s="59">
        <f>SUM(L$35:L$39)</f>
        <v>0.99999999999999822</v>
      </c>
      <c r="C70" s="1" t="s">
        <v>17</v>
      </c>
      <c r="D70" s="1">
        <v>1</v>
      </c>
      <c r="E70" s="47" t="s">
        <v>11</v>
      </c>
      <c r="F70" s="47" t="s">
        <v>28</v>
      </c>
      <c r="H70" s="1"/>
      <c r="I70" s="59">
        <f>SUMPRODUCT($B$52:$I$52,$H39:$O39)+SUMPRODUCT($B$53:$I$53,$H47:$O47)</f>
        <v>0</v>
      </c>
      <c r="J70" s="45" t="s">
        <v>18</v>
      </c>
      <c r="K70" s="59">
        <f>F$44*L$29</f>
        <v>0</v>
      </c>
      <c r="L70" s="47" t="s">
        <v>23</v>
      </c>
      <c r="M70" s="48">
        <f t="shared" si="8"/>
        <v>0</v>
      </c>
      <c r="N70" s="1"/>
      <c r="O70" s="1"/>
      <c r="P70" s="1"/>
      <c r="Q70" s="1"/>
      <c r="R70" s="1"/>
      <c r="S70" s="1"/>
      <c r="T70" s="1"/>
    </row>
    <row r="71" spans="1:20" x14ac:dyDescent="0.3">
      <c r="A71" s="1"/>
      <c r="B71" s="59">
        <f>SUM(M$35:M$39)</f>
        <v>1.000000000000004</v>
      </c>
      <c r="C71" s="1" t="s">
        <v>17</v>
      </c>
      <c r="D71" s="1">
        <v>1</v>
      </c>
      <c r="E71" s="47" t="s">
        <v>11</v>
      </c>
      <c r="F71" s="47" t="s">
        <v>29</v>
      </c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</row>
    <row r="72" spans="1:20" x14ac:dyDescent="0.3">
      <c r="A72" s="1"/>
      <c r="B72" s="59">
        <f>SUM(N$35:N$39)</f>
        <v>1</v>
      </c>
      <c r="C72" s="1" t="s">
        <v>17</v>
      </c>
      <c r="D72" s="1">
        <v>1</v>
      </c>
      <c r="E72" s="47" t="s">
        <v>11</v>
      </c>
      <c r="F72" s="47" t="s">
        <v>30</v>
      </c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</row>
    <row r="73" spans="1:20" x14ac:dyDescent="0.3">
      <c r="A73" s="1"/>
      <c r="B73" s="59">
        <f>SUM(O$35:O$39)</f>
        <v>1.0000000000000009</v>
      </c>
      <c r="C73" s="1" t="s">
        <v>17</v>
      </c>
      <c r="D73" s="1">
        <v>1</v>
      </c>
      <c r="E73" s="47" t="s">
        <v>11</v>
      </c>
      <c r="F73" s="47" t="s">
        <v>31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</row>
    <row r="74" spans="1:20" x14ac:dyDescent="0.3">
      <c r="A74" s="1"/>
      <c r="B74" s="59">
        <f>SUM(H$43:H$47)</f>
        <v>1</v>
      </c>
      <c r="C74" s="1" t="s">
        <v>17</v>
      </c>
      <c r="D74" s="1">
        <v>1</v>
      </c>
      <c r="E74" s="47" t="s">
        <v>12</v>
      </c>
      <c r="F74" s="47" t="s">
        <v>24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</row>
    <row r="75" spans="1:20" x14ac:dyDescent="0.3">
      <c r="A75" s="1"/>
      <c r="B75" s="59">
        <f>SUM(I$43:I$47)</f>
        <v>1</v>
      </c>
      <c r="C75" s="1" t="s">
        <v>17</v>
      </c>
      <c r="D75" s="1">
        <v>1</v>
      </c>
      <c r="E75" s="47" t="s">
        <v>12</v>
      </c>
      <c r="F75" s="47" t="s">
        <v>25</v>
      </c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</row>
    <row r="76" spans="1:20" x14ac:dyDescent="0.3">
      <c r="A76" s="1"/>
      <c r="B76" s="59">
        <f>SUM(J$43:J$47)</f>
        <v>1</v>
      </c>
      <c r="C76" s="1" t="s">
        <v>17</v>
      </c>
      <c r="D76" s="1">
        <v>1</v>
      </c>
      <c r="E76" s="47" t="s">
        <v>12</v>
      </c>
      <c r="F76" s="47" t="s">
        <v>26</v>
      </c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</row>
    <row r="77" spans="1:20" x14ac:dyDescent="0.3">
      <c r="A77" s="1"/>
      <c r="B77" s="59">
        <f>SUM(K$43:K$47)</f>
        <v>1.0000000000000002</v>
      </c>
      <c r="C77" s="1" t="s">
        <v>17</v>
      </c>
      <c r="D77" s="1">
        <v>1</v>
      </c>
      <c r="E77" s="47" t="s">
        <v>12</v>
      </c>
      <c r="F77" s="47" t="s">
        <v>27</v>
      </c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</row>
    <row r="78" spans="1:20" x14ac:dyDescent="0.3">
      <c r="A78" s="1"/>
      <c r="B78" s="59">
        <f>SUM(L$43:L$47)</f>
        <v>1</v>
      </c>
      <c r="C78" s="1" t="s">
        <v>17</v>
      </c>
      <c r="D78" s="1">
        <v>1</v>
      </c>
      <c r="E78" s="47" t="s">
        <v>12</v>
      </c>
      <c r="F78" s="47" t="s">
        <v>28</v>
      </c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</row>
    <row r="79" spans="1:20" x14ac:dyDescent="0.3">
      <c r="A79" s="1"/>
      <c r="B79" s="59">
        <f>SUM(M$43:M$47)</f>
        <v>1</v>
      </c>
      <c r="C79" s="1" t="s">
        <v>17</v>
      </c>
      <c r="D79" s="1">
        <v>1</v>
      </c>
      <c r="E79" s="47" t="s">
        <v>12</v>
      </c>
      <c r="F79" s="47" t="s">
        <v>29</v>
      </c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</row>
    <row r="80" spans="1:20" x14ac:dyDescent="0.3">
      <c r="A80" s="1"/>
      <c r="B80" s="59">
        <f>SUM(N$43:N$47)</f>
        <v>1</v>
      </c>
      <c r="C80" s="1" t="s">
        <v>17</v>
      </c>
      <c r="D80" s="1">
        <v>1</v>
      </c>
      <c r="E80" s="47" t="s">
        <v>12</v>
      </c>
      <c r="F80" s="47" t="s">
        <v>30</v>
      </c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</row>
    <row r="81" spans="1:20" x14ac:dyDescent="0.3">
      <c r="A81" s="1"/>
      <c r="B81" s="59">
        <f>SUM(O$43:O$47)</f>
        <v>1</v>
      </c>
      <c r="C81" s="1" t="s">
        <v>17</v>
      </c>
      <c r="D81" s="1">
        <v>1</v>
      </c>
      <c r="E81" s="47" t="s">
        <v>12</v>
      </c>
      <c r="F81" s="47" t="s">
        <v>31</v>
      </c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</row>
    <row r="82" spans="1:20" x14ac:dyDescent="0.3">
      <c r="A82" s="1"/>
      <c r="B82" s="1"/>
      <c r="C82" s="1"/>
      <c r="D82" s="1"/>
      <c r="E82" s="47"/>
      <c r="F82" s="47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</row>
    <row r="83" spans="1:20" x14ac:dyDescent="0.3">
      <c r="A83" s="1"/>
      <c r="B83" s="1"/>
      <c r="C83" s="1"/>
      <c r="D83" s="1"/>
      <c r="E83" s="47"/>
      <c r="F83" s="47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</row>
    <row r="84" spans="1:20" x14ac:dyDescent="0.3">
      <c r="A84" s="1"/>
      <c r="B84" s="1"/>
      <c r="C84" s="1"/>
      <c r="E84" s="47"/>
      <c r="F84" s="47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</row>
    <row r="85" spans="1:20" x14ac:dyDescent="0.3">
      <c r="A85" s="1"/>
      <c r="B85" s="1"/>
      <c r="C85" s="1"/>
      <c r="F85" s="1"/>
      <c r="G85" s="1"/>
      <c r="H85" s="1"/>
      <c r="I85" s="1"/>
      <c r="J85" s="1"/>
      <c r="K85" s="1"/>
      <c r="L85" s="47"/>
      <c r="M85" s="1"/>
      <c r="N85" s="1"/>
      <c r="O85" s="1"/>
      <c r="P85" s="1"/>
      <c r="Q85" s="1"/>
      <c r="R85" s="1"/>
      <c r="S85" s="1"/>
      <c r="T85" s="1"/>
    </row>
    <row r="86" spans="1:20" x14ac:dyDescent="0.3">
      <c r="A86" s="1"/>
      <c r="B86" s="1"/>
      <c r="C86" s="1"/>
      <c r="F86" s="1"/>
      <c r="G86" s="1"/>
      <c r="H86" s="1"/>
      <c r="I86" s="1"/>
      <c r="J86" s="1"/>
      <c r="K86" s="1"/>
      <c r="L86" s="47"/>
      <c r="M86" s="1"/>
      <c r="N86" s="1"/>
      <c r="O86" s="1"/>
      <c r="P86" s="1"/>
      <c r="Q86" s="1"/>
      <c r="R86" s="1"/>
      <c r="S86" s="1"/>
      <c r="T86" s="1"/>
    </row>
    <row r="87" spans="1:20" x14ac:dyDescent="0.3">
      <c r="A87" s="1"/>
      <c r="B87" s="1"/>
      <c r="C87" s="1"/>
      <c r="F87" s="1"/>
      <c r="G87" s="1"/>
      <c r="H87" s="1"/>
      <c r="I87" s="1"/>
      <c r="J87" s="1"/>
      <c r="K87" s="1"/>
      <c r="L87" s="47"/>
      <c r="M87" s="1"/>
      <c r="N87" s="1"/>
      <c r="O87" s="1"/>
      <c r="P87" s="1"/>
      <c r="Q87" s="1"/>
      <c r="R87" s="1"/>
      <c r="S87" s="1"/>
      <c r="T87" s="1"/>
    </row>
    <row r="88" spans="1:20" x14ac:dyDescent="0.3">
      <c r="A88" s="1"/>
      <c r="B88" s="1"/>
      <c r="C88" s="1"/>
      <c r="F88" s="1"/>
      <c r="G88" s="1"/>
      <c r="H88" s="1"/>
      <c r="K88" s="1"/>
      <c r="L88" s="1"/>
      <c r="M88" s="1"/>
      <c r="N88" s="1"/>
      <c r="O88" s="1"/>
      <c r="P88" s="1"/>
      <c r="R88" s="1"/>
      <c r="S88" s="1"/>
      <c r="T88" s="1"/>
    </row>
    <row r="89" spans="1:20" x14ac:dyDescent="0.3">
      <c r="A89" s="1"/>
      <c r="B89" s="1"/>
      <c r="C89" s="1"/>
      <c r="F89" s="1"/>
      <c r="G89" s="1"/>
      <c r="H89" s="1"/>
      <c r="K89" s="1"/>
      <c r="L89" s="1"/>
      <c r="M89" s="1"/>
      <c r="N89" s="1"/>
      <c r="O89" s="1"/>
      <c r="P89" s="1"/>
      <c r="R89" s="1"/>
      <c r="S89" s="1"/>
      <c r="T89" s="1"/>
    </row>
    <row r="90" spans="1:20" x14ac:dyDescent="0.3">
      <c r="A90" s="1"/>
      <c r="B90" s="1"/>
      <c r="C90" s="1"/>
      <c r="D90" s="1"/>
      <c r="E90" s="1"/>
      <c r="F90" s="1"/>
      <c r="G90" s="1"/>
      <c r="H90" s="1"/>
      <c r="K90" s="1"/>
      <c r="L90" s="1"/>
      <c r="M90" s="1"/>
      <c r="N90" s="1"/>
      <c r="O90" s="1"/>
      <c r="P90" s="1"/>
      <c r="R90" s="1"/>
      <c r="S90" s="1"/>
      <c r="T90" s="1"/>
    </row>
    <row r="91" spans="1:20" x14ac:dyDescent="0.3">
      <c r="A91" s="1"/>
      <c r="B91" s="1"/>
      <c r="C91" s="1"/>
      <c r="D91" s="1"/>
      <c r="L91" s="1"/>
      <c r="M91" s="1"/>
      <c r="R91" s="1"/>
      <c r="S91" s="1"/>
      <c r="T91" s="1"/>
    </row>
    <row r="92" spans="1:20" x14ac:dyDescent="0.3">
      <c r="A92" s="1"/>
      <c r="B92" s="1"/>
      <c r="C92" s="1"/>
      <c r="D92" s="1"/>
      <c r="L92" s="1"/>
      <c r="M92" s="1"/>
      <c r="R92" s="1"/>
      <c r="S92" s="1"/>
      <c r="T92" s="1"/>
    </row>
    <row r="93" spans="1:20" x14ac:dyDescent="0.3">
      <c r="A93" s="1"/>
      <c r="B93" s="1"/>
      <c r="C93" s="1"/>
      <c r="D93" s="1"/>
      <c r="L93" s="1"/>
      <c r="M93" s="1"/>
      <c r="R93" s="1"/>
      <c r="S93" s="1"/>
      <c r="T93" s="1"/>
    </row>
    <row r="94" spans="1:20" x14ac:dyDescent="0.3">
      <c r="A94" s="1"/>
      <c r="B94" s="1"/>
      <c r="C94" s="1"/>
      <c r="D94" s="1"/>
      <c r="L94" s="1"/>
      <c r="M94" s="1"/>
      <c r="R94" s="1"/>
      <c r="S94" s="1"/>
      <c r="T94" s="1"/>
    </row>
    <row r="95" spans="1:20" x14ac:dyDescent="0.3">
      <c r="A95" s="1"/>
      <c r="B95" s="1"/>
      <c r="C95" s="1"/>
      <c r="D95" s="1"/>
      <c r="L95" s="1"/>
      <c r="M95" s="1"/>
      <c r="R95" s="1"/>
      <c r="S95" s="1"/>
      <c r="T95" s="1"/>
    </row>
    <row r="96" spans="1:20" x14ac:dyDescent="0.3">
      <c r="A96" s="1"/>
      <c r="B96" s="1"/>
      <c r="C96" s="1"/>
      <c r="D96" s="1"/>
      <c r="K96" s="1"/>
      <c r="L96" s="1"/>
      <c r="M96" s="1"/>
      <c r="N96" s="1"/>
      <c r="O96" s="1"/>
      <c r="P96" s="1"/>
      <c r="Q96" s="1"/>
      <c r="R96" s="1"/>
      <c r="S96" s="1"/>
      <c r="T96" s="1"/>
    </row>
    <row r="97" spans="1:20" x14ac:dyDescent="0.3">
      <c r="A97" s="1"/>
      <c r="B97" s="1"/>
      <c r="C97" s="1"/>
      <c r="D97" s="1"/>
      <c r="E97" s="1"/>
      <c r="F97" s="1"/>
      <c r="G97" s="1"/>
      <c r="H97" s="1"/>
      <c r="K97" s="1"/>
      <c r="L97" s="1"/>
      <c r="M97" s="1"/>
      <c r="N97" s="1"/>
      <c r="O97" s="1"/>
      <c r="P97" s="1"/>
      <c r="Q97" s="1"/>
      <c r="R97" s="1"/>
      <c r="S97" s="1"/>
      <c r="T97" s="1"/>
    </row>
    <row r="98" spans="1:20" x14ac:dyDescent="0.3">
      <c r="A98" s="1"/>
      <c r="B98" s="1"/>
      <c r="C98" s="1"/>
      <c r="D98" s="1"/>
      <c r="E98" s="1"/>
      <c r="F98" s="1"/>
      <c r="G98" s="1"/>
      <c r="H98" s="1"/>
      <c r="K98" s="1"/>
      <c r="L98" s="1"/>
      <c r="M98" s="1"/>
      <c r="N98" s="1"/>
      <c r="O98" s="1"/>
      <c r="P98" s="1"/>
      <c r="Q98" s="1"/>
      <c r="R98" s="1"/>
      <c r="S98" s="1"/>
      <c r="T98" s="1"/>
    </row>
    <row r="99" spans="1:20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</row>
    <row r="100" spans="1:20" x14ac:dyDescent="0.3">
      <c r="A100" s="1"/>
      <c r="B100" s="1"/>
      <c r="C100" s="1"/>
      <c r="D100" s="1"/>
      <c r="E100" s="1"/>
      <c r="F100" s="1"/>
      <c r="G100" s="1"/>
      <c r="H100" s="1"/>
      <c r="I100" s="1"/>
      <c r="L100" s="1"/>
      <c r="M100" s="1"/>
      <c r="N100" s="1"/>
      <c r="O100" s="1"/>
      <c r="P100" s="1"/>
      <c r="Q100" s="1"/>
      <c r="R100" s="1"/>
      <c r="S100" s="1"/>
      <c r="T100" s="1"/>
    </row>
    <row r="101" spans="1:20" x14ac:dyDescent="0.3">
      <c r="A101" s="1"/>
      <c r="B101" s="1"/>
      <c r="C101" s="1"/>
      <c r="D101" s="1"/>
      <c r="E101" s="1"/>
      <c r="F101" s="1"/>
      <c r="G101" s="1"/>
      <c r="H101" s="1"/>
      <c r="I101" s="1"/>
      <c r="L101" s="1"/>
      <c r="M101" s="1"/>
      <c r="N101" s="1"/>
      <c r="O101" s="1"/>
      <c r="P101" s="1"/>
      <c r="Q101" s="1"/>
      <c r="R101" s="1"/>
      <c r="S101" s="1"/>
      <c r="T101" s="1"/>
    </row>
    <row r="102" spans="1:20" x14ac:dyDescent="0.3">
      <c r="A102" s="1"/>
      <c r="B102" s="1"/>
      <c r="C102" s="1"/>
      <c r="D102" s="1"/>
      <c r="E102" s="1"/>
      <c r="F102" s="1"/>
      <c r="G102" s="1"/>
      <c r="H102" s="1"/>
      <c r="I102" s="1"/>
      <c r="L102" s="1"/>
      <c r="M102" s="1"/>
      <c r="N102" s="1"/>
      <c r="O102" s="1"/>
      <c r="P102" s="1"/>
      <c r="Q102" s="1"/>
      <c r="R102" s="1"/>
      <c r="S102" s="1"/>
      <c r="T102" s="1"/>
    </row>
    <row r="103" spans="1:20" x14ac:dyDescent="0.3">
      <c r="A103" s="1"/>
      <c r="B103" s="1"/>
      <c r="C103" s="1"/>
      <c r="D103" s="1"/>
      <c r="E103" s="1"/>
      <c r="F103" s="1"/>
      <c r="G103" s="1"/>
      <c r="H103" s="1"/>
      <c r="I103" s="1"/>
      <c r="L103" s="1"/>
      <c r="M103" s="1"/>
      <c r="N103" s="1"/>
      <c r="O103" s="1"/>
      <c r="P103" s="1"/>
      <c r="Q103" s="1"/>
      <c r="R103" s="1"/>
      <c r="S103" s="1"/>
      <c r="T103" s="1"/>
    </row>
    <row r="104" spans="1:20" x14ac:dyDescent="0.3">
      <c r="A104" s="1"/>
      <c r="B104" s="1"/>
      <c r="C104" s="1"/>
      <c r="D104" s="1"/>
      <c r="E104" s="1"/>
      <c r="F104" s="1"/>
      <c r="G104" s="1"/>
      <c r="H104" s="1"/>
      <c r="I104" s="1"/>
      <c r="L104" s="1"/>
      <c r="M104" s="1"/>
      <c r="N104" s="1"/>
      <c r="O104" s="1"/>
      <c r="P104" s="1"/>
      <c r="Q104" s="1"/>
      <c r="R104" s="1"/>
      <c r="S104" s="1"/>
      <c r="T104" s="1"/>
    </row>
    <row r="105" spans="1:20" x14ac:dyDescent="0.3">
      <c r="A105" s="1"/>
      <c r="B105" s="1"/>
      <c r="C105" s="1"/>
      <c r="D105" s="1"/>
      <c r="E105" s="1"/>
      <c r="F105" s="1"/>
      <c r="G105" s="1"/>
      <c r="H105" s="1"/>
      <c r="I105" s="1"/>
      <c r="L105" s="1"/>
      <c r="M105" s="1"/>
      <c r="N105" s="1"/>
      <c r="O105" s="1"/>
      <c r="P105" s="1"/>
      <c r="Q105" s="1"/>
      <c r="R105" s="1"/>
      <c r="S105" s="1"/>
      <c r="T105" s="1"/>
    </row>
    <row r="106" spans="1:20" x14ac:dyDescent="0.3">
      <c r="A106" s="1"/>
      <c r="B106" s="1"/>
      <c r="C106" s="1"/>
      <c r="D106" s="1"/>
      <c r="E106" s="1"/>
      <c r="F106" s="1"/>
      <c r="G106" s="1"/>
      <c r="H106" s="1"/>
      <c r="I106" s="1"/>
      <c r="L106" s="1"/>
      <c r="M106" s="1"/>
      <c r="N106" s="1"/>
      <c r="O106" s="1"/>
      <c r="P106" s="1"/>
      <c r="Q106" s="1"/>
      <c r="R106" s="1"/>
      <c r="S106" s="1"/>
      <c r="T106" s="1"/>
    </row>
    <row r="107" spans="1:20" x14ac:dyDescent="0.3">
      <c r="A107" s="1"/>
      <c r="B107" s="1"/>
      <c r="C107" s="1"/>
      <c r="D107" s="1"/>
      <c r="E107" s="1"/>
      <c r="F107" s="1"/>
      <c r="G107" s="1"/>
      <c r="H107" s="1"/>
      <c r="I107" s="1"/>
      <c r="L107" s="1"/>
      <c r="M107" s="1"/>
      <c r="N107" s="1"/>
      <c r="O107" s="1"/>
      <c r="P107" s="1"/>
      <c r="Q107" s="1"/>
      <c r="R107" s="1"/>
      <c r="S107" s="1"/>
      <c r="T107" s="1"/>
    </row>
    <row r="108" spans="1:20" x14ac:dyDescent="0.3">
      <c r="A108" s="1"/>
      <c r="B108" s="1"/>
      <c r="C108" s="1"/>
      <c r="D108" s="1"/>
      <c r="E108" s="1"/>
      <c r="F108" s="1"/>
      <c r="G108" s="1"/>
      <c r="H108" s="1"/>
      <c r="I108" s="1"/>
      <c r="L108" s="1"/>
      <c r="M108" s="1"/>
      <c r="N108" s="1"/>
      <c r="O108" s="1"/>
      <c r="P108" s="1"/>
      <c r="Q108" s="1"/>
      <c r="R108" s="1"/>
      <c r="S108" s="1"/>
      <c r="T108" s="1"/>
    </row>
    <row r="109" spans="1:20" x14ac:dyDescent="0.3">
      <c r="A109" s="1"/>
      <c r="B109" s="1"/>
      <c r="C109" s="1"/>
      <c r="D109" s="1"/>
      <c r="E109" s="1"/>
      <c r="F109" s="1"/>
      <c r="G109" s="1"/>
      <c r="H109" s="1"/>
      <c r="I109" s="1"/>
      <c r="L109" s="1"/>
      <c r="M109" s="1"/>
      <c r="N109" s="1"/>
      <c r="O109" s="1"/>
      <c r="P109" s="1"/>
      <c r="Q109" s="1"/>
      <c r="R109" s="1"/>
      <c r="S109" s="1"/>
      <c r="T109" s="1"/>
    </row>
    <row r="110" spans="1:20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</row>
    <row r="111" spans="1:20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</row>
    <row r="112" spans="1:20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</row>
    <row r="113" spans="1:20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</row>
    <row r="114" spans="1:20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</row>
    <row r="115" spans="1:20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</row>
    <row r="116" spans="1:20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</row>
    <row r="117" spans="1:20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</row>
    <row r="118" spans="1:20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</row>
    <row r="119" spans="1:20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</row>
    <row r="120" spans="1:20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</row>
    <row r="121" spans="1:20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</row>
    <row r="122" spans="1:20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</row>
    <row r="123" spans="1:20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</row>
    <row r="124" spans="1:20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</row>
    <row r="125" spans="1:20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</row>
    <row r="126" spans="1:20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</row>
    <row r="127" spans="1:20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</row>
    <row r="128" spans="1:20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</row>
    <row r="129" spans="1:20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</row>
    <row r="130" spans="1:20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</row>
    <row r="131" spans="1:20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</row>
    <row r="132" spans="1:20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</row>
    <row r="133" spans="1:20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</row>
    <row r="134" spans="1:20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</row>
    <row r="135" spans="1:20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</row>
    <row r="136" spans="1:20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</row>
    <row r="137" spans="1:20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</row>
    <row r="138" spans="1:20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</row>
    <row r="139" spans="1:20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</row>
    <row r="140" spans="1:20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</row>
    <row r="141" spans="1:20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</row>
    <row r="142" spans="1:20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</row>
    <row r="143" spans="1:20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</row>
    <row r="144" spans="1:20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</row>
    <row r="145" spans="1:20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</row>
    <row r="146" spans="1:20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</row>
    <row r="147" spans="1:20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</row>
    <row r="148" spans="1:20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</row>
    <row r="149" spans="1:20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</row>
    <row r="150" spans="1:20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</row>
    <row r="151" spans="1:20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</row>
    <row r="152" spans="1:20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</row>
    <row r="153" spans="1:20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</row>
    <row r="154" spans="1:20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</row>
    <row r="155" spans="1:20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</row>
    <row r="156" spans="1:20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</row>
    <row r="157" spans="1:20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</row>
    <row r="158" spans="1:20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</row>
    <row r="159" spans="1:20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</row>
    <row r="160" spans="1:20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</row>
    <row r="161" spans="1:20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</row>
    <row r="162" spans="1:20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</row>
    <row r="163" spans="1:20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</row>
    <row r="164" spans="1:20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</row>
    <row r="165" spans="1:20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</row>
    <row r="166" spans="1:20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</row>
    <row r="167" spans="1:20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</row>
    <row r="168" spans="1:20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</row>
    <row r="169" spans="1:20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</row>
    <row r="170" spans="1:20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</row>
    <row r="171" spans="1:20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</row>
    <row r="172" spans="1:20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</row>
    <row r="173" spans="1:20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</row>
    <row r="174" spans="1:20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</row>
    <row r="175" spans="1:20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</row>
    <row r="176" spans="1:20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</row>
    <row r="177" spans="1:20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</row>
    <row r="178" spans="1:20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</row>
    <row r="179" spans="1:20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</row>
    <row r="180" spans="1:20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</row>
    <row r="181" spans="1:20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</row>
    <row r="182" spans="1:20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</row>
    <row r="183" spans="1:20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</row>
    <row r="184" spans="1:20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</row>
    <row r="185" spans="1:20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</row>
    <row r="186" spans="1:20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</row>
    <row r="187" spans="1:20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</row>
    <row r="188" spans="1:20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</row>
    <row r="189" spans="1:20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</row>
    <row r="190" spans="1:20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</row>
    <row r="191" spans="1:20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</row>
    <row r="192" spans="1:20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</row>
    <row r="193" spans="1:20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</row>
    <row r="194" spans="1:20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</row>
    <row r="195" spans="1:20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</row>
    <row r="196" spans="1:20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</row>
    <row r="197" spans="1:20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</row>
    <row r="198" spans="1:20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</row>
    <row r="199" spans="1:20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</row>
    <row r="200" spans="1:20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</row>
    <row r="201" spans="1:20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</row>
    <row r="202" spans="1:20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</row>
    <row r="203" spans="1:20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</row>
    <row r="204" spans="1:20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</row>
    <row r="205" spans="1:20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</row>
    <row r="206" spans="1:20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</row>
    <row r="207" spans="1:20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</row>
    <row r="208" spans="1:20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</row>
    <row r="209" spans="1:20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</row>
    <row r="210" spans="1:20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</row>
    <row r="211" spans="1:20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</row>
    <row r="212" spans="1:20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</row>
    <row r="213" spans="1:20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</row>
    <row r="214" spans="1:20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</row>
    <row r="215" spans="1:20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</row>
    <row r="216" spans="1:20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</row>
    <row r="217" spans="1:20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</row>
    <row r="218" spans="1:20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</row>
    <row r="219" spans="1:20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</row>
    <row r="220" spans="1:20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</row>
    <row r="221" spans="1:20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</row>
    <row r="222" spans="1:20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</row>
    <row r="223" spans="1:20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</row>
    <row r="224" spans="1:20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</row>
    <row r="225" spans="1:20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</row>
    <row r="226" spans="1:20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</row>
    <row r="227" spans="1:20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</row>
    <row r="228" spans="1:20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</row>
    <row r="229" spans="1:20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</row>
    <row r="230" spans="1:20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</row>
    <row r="231" spans="1:20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</row>
    <row r="232" spans="1:20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</row>
    <row r="233" spans="1:20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</row>
    <row r="234" spans="1:20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</row>
    <row r="235" spans="1:20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</row>
    <row r="236" spans="1:20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</row>
    <row r="237" spans="1:20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</row>
    <row r="238" spans="1:20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</row>
    <row r="239" spans="1:20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</row>
    <row r="240" spans="1:20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</row>
    <row r="241" spans="1:20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</row>
    <row r="242" spans="1:20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</row>
    <row r="243" spans="1:20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</row>
    <row r="244" spans="1:20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</row>
    <row r="245" spans="1:20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</row>
    <row r="246" spans="1:20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</row>
    <row r="247" spans="1:20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</row>
    <row r="248" spans="1:20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</row>
    <row r="249" spans="1:20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</row>
    <row r="250" spans="1:20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</row>
    <row r="251" spans="1:20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</row>
    <row r="252" spans="1:20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</row>
    <row r="253" spans="1:20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</row>
    <row r="254" spans="1:20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</row>
    <row r="255" spans="1:20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</row>
    <row r="256" spans="1:20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</row>
    <row r="257" spans="1:20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</row>
    <row r="258" spans="1:20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</row>
    <row r="259" spans="1:20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</row>
    <row r="260" spans="1:20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</row>
    <row r="261" spans="1:20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</row>
    <row r="262" spans="1:20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</row>
    <row r="263" spans="1:20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</row>
    <row r="264" spans="1:20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</row>
    <row r="265" spans="1:20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</row>
    <row r="266" spans="1:20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</row>
    <row r="267" spans="1:20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</row>
    <row r="268" spans="1:20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</row>
    <row r="269" spans="1:20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</row>
    <row r="270" spans="1:20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</row>
    <row r="271" spans="1:20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</row>
    <row r="272" spans="1:20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</row>
    <row r="273" spans="1:20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</row>
    <row r="274" spans="1:20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</row>
    <row r="275" spans="1:20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</row>
    <row r="276" spans="1:20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</row>
    <row r="277" spans="1:20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</row>
    <row r="278" spans="1:20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</row>
    <row r="279" spans="1:20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</row>
    <row r="280" spans="1:20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</row>
    <row r="281" spans="1:20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</row>
    <row r="282" spans="1:20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</row>
    <row r="283" spans="1:20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</row>
    <row r="284" spans="1:20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</row>
    <row r="285" spans="1:20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</row>
    <row r="286" spans="1:20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</row>
    <row r="287" spans="1:20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</row>
    <row r="288" spans="1:20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</row>
    <row r="289" spans="1:20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</row>
    <row r="290" spans="1:20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</row>
    <row r="291" spans="1:20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</row>
    <row r="292" spans="1:20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</row>
    <row r="293" spans="1:20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</row>
    <row r="294" spans="1:20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</row>
    <row r="295" spans="1:20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</row>
    <row r="296" spans="1:20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</row>
    <row r="297" spans="1:20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</row>
    <row r="298" spans="1:20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</row>
    <row r="299" spans="1:20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</row>
    <row r="300" spans="1:20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</row>
    <row r="301" spans="1:20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</row>
    <row r="302" spans="1:20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</row>
    <row r="303" spans="1:20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</row>
    <row r="304" spans="1:20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</row>
    <row r="305" spans="1:20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</row>
    <row r="306" spans="1:20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</row>
    <row r="307" spans="1:20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</row>
    <row r="308" spans="1:20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</row>
    <row r="309" spans="1:20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</row>
    <row r="310" spans="1:20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</row>
    <row r="311" spans="1:20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</row>
    <row r="312" spans="1:20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</row>
    <row r="313" spans="1:20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</row>
    <row r="314" spans="1:20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</row>
    <row r="315" spans="1:20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</row>
    <row r="316" spans="1:20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</row>
    <row r="317" spans="1:20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</row>
    <row r="318" spans="1:20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</row>
    <row r="319" spans="1:20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</row>
    <row r="320" spans="1:20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</row>
    <row r="321" spans="1:20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</row>
    <row r="322" spans="1:20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</row>
    <row r="323" spans="1:20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</row>
    <row r="324" spans="1:20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</row>
    <row r="325" spans="1:20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</row>
    <row r="326" spans="1:20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</row>
    <row r="327" spans="1:20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</row>
    <row r="328" spans="1:20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</row>
    <row r="329" spans="1:20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</row>
    <row r="330" spans="1:20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</row>
    <row r="331" spans="1:20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</row>
    <row r="332" spans="1:20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</row>
    <row r="333" spans="1:20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</row>
    <row r="334" spans="1:20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</row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CBFA87-A867-4C6F-9807-1E480E716FCD}">
  <dimension ref="B2:O22"/>
  <sheetViews>
    <sheetView workbookViewId="0">
      <selection activeCell="P25" sqref="P25"/>
    </sheetView>
  </sheetViews>
  <sheetFormatPr defaultRowHeight="14.4" x14ac:dyDescent="0.3"/>
  <cols>
    <col min="7" max="7" width="12" customWidth="1"/>
  </cols>
  <sheetData>
    <row r="2" spans="2:15" x14ac:dyDescent="0.3">
      <c r="C2" t="s">
        <v>38</v>
      </c>
      <c r="D2">
        <v>60</v>
      </c>
      <c r="F2" t="s">
        <v>39</v>
      </c>
      <c r="G2">
        <v>42</v>
      </c>
      <c r="K2" t="s">
        <v>40</v>
      </c>
      <c r="N2" t="s">
        <v>41</v>
      </c>
    </row>
    <row r="3" spans="2:15" x14ac:dyDescent="0.3">
      <c r="D3">
        <v>9.5</v>
      </c>
      <c r="G3">
        <v>6.1</v>
      </c>
      <c r="K3">
        <v>0</v>
      </c>
      <c r="L3">
        <v>9.5</v>
      </c>
      <c r="N3">
        <v>0</v>
      </c>
      <c r="O3">
        <v>6.1</v>
      </c>
    </row>
    <row r="4" spans="2:15" x14ac:dyDescent="0.3">
      <c r="D4" s="65">
        <v>5.5</v>
      </c>
      <c r="G4">
        <v>4.8</v>
      </c>
      <c r="K4" s="65">
        <v>15</v>
      </c>
      <c r="L4" s="65">
        <v>5.5</v>
      </c>
      <c r="N4">
        <v>26</v>
      </c>
      <c r="O4">
        <v>4.8</v>
      </c>
    </row>
    <row r="5" spans="2:15" x14ac:dyDescent="0.3">
      <c r="D5" s="66">
        <f>D2-D3-D4</f>
        <v>45</v>
      </c>
      <c r="G5">
        <v>7.3</v>
      </c>
      <c r="N5">
        <v>46</v>
      </c>
      <c r="O5">
        <v>7.3</v>
      </c>
    </row>
    <row r="6" spans="2:15" x14ac:dyDescent="0.3">
      <c r="D6">
        <v>3.2</v>
      </c>
      <c r="G6">
        <v>4</v>
      </c>
      <c r="L6" s="69">
        <f>B8*SUMPRODUCT(K3:K4,L3:L4)</f>
        <v>24.75</v>
      </c>
      <c r="N6">
        <v>53</v>
      </c>
      <c r="O6">
        <v>4</v>
      </c>
    </row>
    <row r="7" spans="2:15" x14ac:dyDescent="0.3">
      <c r="D7">
        <f>(1-G10/6.2)*6.2</f>
        <v>0.50000000000000022</v>
      </c>
      <c r="G7">
        <v>8</v>
      </c>
      <c r="N7">
        <v>33</v>
      </c>
      <c r="O7">
        <v>8</v>
      </c>
    </row>
    <row r="8" spans="2:15" x14ac:dyDescent="0.3">
      <c r="B8">
        <v>0.3</v>
      </c>
      <c r="D8">
        <v>3.1</v>
      </c>
      <c r="G8" s="65">
        <v>6.1</v>
      </c>
      <c r="N8" s="65">
        <v>38</v>
      </c>
      <c r="O8" s="65">
        <v>6.1</v>
      </c>
    </row>
    <row r="9" spans="2:15" x14ac:dyDescent="0.3">
      <c r="D9">
        <v>4.9000000000000004</v>
      </c>
      <c r="G9" s="66">
        <f>G2-SUM(G3:G8)</f>
        <v>5.7000000000000028</v>
      </c>
    </row>
    <row r="10" spans="2:15" x14ac:dyDescent="0.3">
      <c r="D10">
        <v>8.6999999999999993</v>
      </c>
      <c r="G10">
        <v>5.7</v>
      </c>
      <c r="O10" s="69">
        <f>SUMPRODUCT(N3:N8,O3:O8)*B8</f>
        <v>350.52000000000004</v>
      </c>
    </row>
    <row r="11" spans="2:15" x14ac:dyDescent="0.3">
      <c r="D11">
        <v>1.2</v>
      </c>
    </row>
    <row r="12" spans="2:15" x14ac:dyDescent="0.3">
      <c r="D12">
        <v>4</v>
      </c>
      <c r="G12" s="65"/>
      <c r="K12" t="s">
        <v>42</v>
      </c>
      <c r="N12" t="s">
        <v>43</v>
      </c>
    </row>
    <row r="13" spans="2:15" ht="15" thickBot="1" x14ac:dyDescent="0.35">
      <c r="D13" s="67">
        <v>5.3</v>
      </c>
      <c r="G13">
        <f>G9-SUM(G10:G12)</f>
        <v>0</v>
      </c>
      <c r="K13">
        <v>0</v>
      </c>
      <c r="L13">
        <v>3.2</v>
      </c>
      <c r="N13" s="67">
        <v>0</v>
      </c>
      <c r="O13" s="67">
        <v>5.7</v>
      </c>
    </row>
    <row r="14" spans="2:15" x14ac:dyDescent="0.3">
      <c r="D14">
        <f>D5-SUM(D6:D13)</f>
        <v>14.100000000000001</v>
      </c>
      <c r="K14">
        <v>27</v>
      </c>
      <c r="L14">
        <v>0.5</v>
      </c>
      <c r="O14" s="69">
        <f>O13*N13</f>
        <v>0</v>
      </c>
    </row>
    <row r="15" spans="2:15" x14ac:dyDescent="0.3">
      <c r="K15">
        <v>50</v>
      </c>
      <c r="L15">
        <v>3.1</v>
      </c>
    </row>
    <row r="16" spans="2:15" x14ac:dyDescent="0.3">
      <c r="K16">
        <v>79</v>
      </c>
      <c r="L16">
        <v>4.9000000000000004</v>
      </c>
    </row>
    <row r="17" spans="3:12" x14ac:dyDescent="0.3">
      <c r="K17">
        <v>15</v>
      </c>
      <c r="L17">
        <v>8.6999999999999993</v>
      </c>
    </row>
    <row r="18" spans="3:12" x14ac:dyDescent="0.3">
      <c r="K18">
        <v>58</v>
      </c>
      <c r="L18">
        <v>1.2</v>
      </c>
    </row>
    <row r="19" spans="3:12" x14ac:dyDescent="0.3">
      <c r="K19">
        <v>36</v>
      </c>
      <c r="L19">
        <v>4</v>
      </c>
    </row>
    <row r="20" spans="3:12" ht="15" thickBot="1" x14ac:dyDescent="0.35">
      <c r="C20">
        <f>((150+145)*1000)/300</f>
        <v>983.33333333333337</v>
      </c>
      <c r="K20" s="67">
        <v>45</v>
      </c>
      <c r="L20" s="67">
        <v>5.3</v>
      </c>
    </row>
    <row r="21" spans="3:12" x14ac:dyDescent="0.3">
      <c r="L21" s="69">
        <f>SUMPRODUCT(L13:L20,K13:K20)*B8</f>
        <v>341.46</v>
      </c>
    </row>
    <row r="22" spans="3:12" x14ac:dyDescent="0.3">
      <c r="F22" t="s">
        <v>44</v>
      </c>
      <c r="G22" s="68">
        <f>C20+L21+L6+O14+O10</f>
        <v>1700.0633333333333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Dati</vt:lpstr>
      <vt:lpstr>Ispezione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Fabbri</dc:creator>
  <cp:lastModifiedBy>Diego Fabbri</cp:lastModifiedBy>
  <dcterms:created xsi:type="dcterms:W3CDTF">2020-05-31T20:16:32Z</dcterms:created>
  <dcterms:modified xsi:type="dcterms:W3CDTF">2020-06-06T15:17:16Z</dcterms:modified>
</cp:coreProperties>
</file>